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orp\AppData\Local\Temp\"/>
    </mc:Choice>
  </mc:AlternateContent>
  <xr:revisionPtr revIDLastSave="0" documentId="8_{77AD8D12-B473-48D8-B49D-9204324475B0}" xr6:coauthVersionLast="47" xr6:coauthVersionMax="47" xr10:uidLastSave="{00000000-0000-0000-0000-000000000000}"/>
  <bookViews>
    <workbookView xWindow="-108" yWindow="-108" windowWidth="23256" windowHeight="12456" xr2:uid="{5496C2B1-16E5-462D-AEEC-09BC547B67AE}"/>
  </bookViews>
  <sheets>
    <sheet name="Dashboard" sheetId="1" r:id="rId1"/>
    <sheet name="Clean Data" sheetId="2" r:id="rId2"/>
    <sheet name="Raw Export" sheetId="3" r:id="rId3"/>
    <sheet name="Cleaning Log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21" i="1" l="1"/>
  <c r="I20" i="1"/>
  <c r="I19" i="1"/>
  <c r="I18" i="1"/>
  <c r="I17" i="1"/>
  <c r="I16" i="1"/>
  <c r="I15" i="1"/>
  <c r="I14" i="1"/>
  <c r="F16" i="1"/>
  <c r="B16" i="1"/>
  <c r="C16" i="1"/>
  <c r="D16" i="1"/>
  <c r="E16" i="1"/>
  <c r="F15" i="1"/>
  <c r="B15" i="1"/>
  <c r="C15" i="1"/>
  <c r="D15" i="1"/>
  <c r="E15" i="1"/>
  <c r="F14" i="1"/>
  <c r="B14" i="1"/>
  <c r="C14" i="1"/>
  <c r="D14" i="1"/>
  <c r="E14" i="1"/>
  <c r="F13" i="1"/>
  <c r="B13" i="1"/>
  <c r="C13" i="1"/>
  <c r="D13" i="1"/>
  <c r="E13" i="1"/>
  <c r="F12" i="1"/>
  <c r="B12" i="1"/>
  <c r="C12" i="1"/>
  <c r="D12" i="1"/>
  <c r="E12" i="1"/>
  <c r="F11" i="1"/>
  <c r="B11" i="1"/>
  <c r="C11" i="1"/>
  <c r="D11" i="1"/>
  <c r="E11" i="1"/>
  <c r="B6" i="1"/>
  <c r="B5" i="1"/>
  <c r="B4" i="1"/>
  <c r="I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C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B7" i="1" l="1"/>
</calcChain>
</file>

<file path=xl/sharedStrings.xml><?xml version="1.0" encoding="utf-8"?>
<sst xmlns="http://schemas.openxmlformats.org/spreadsheetml/2006/main" count="2125" uniqueCount="442">
  <si>
    <t>Order ID</t>
  </si>
  <si>
    <t>Order Date</t>
  </si>
  <si>
    <t>Customer</t>
  </si>
  <si>
    <t>Region</t>
  </si>
  <si>
    <t>Product</t>
  </si>
  <si>
    <t>Units</t>
  </si>
  <si>
    <t>Unit Price</t>
  </si>
  <si>
    <t>SO-1001</t>
  </si>
  <si>
    <t>Jan 23 2026</t>
  </si>
  <si>
    <t>Fjord Supplies</t>
  </si>
  <si>
    <t>E.</t>
  </si>
  <si>
    <t>Standard License</t>
  </si>
  <si>
    <t>3</t>
  </si>
  <si>
    <t>120</t>
  </si>
  <si>
    <t>SO-1002</t>
  </si>
  <si>
    <t>May 12 2026</t>
  </si>
  <si>
    <t xml:space="preserve">Blue Harbor Ltd   </t>
  </si>
  <si>
    <t>S.</t>
  </si>
  <si>
    <t>Pro License</t>
  </si>
  <si>
    <t>340</t>
  </si>
  <si>
    <t>SO-1003</t>
  </si>
  <si>
    <t>12/02/2026</t>
  </si>
  <si>
    <t>South</t>
  </si>
  <si>
    <t>Onboarding</t>
  </si>
  <si>
    <t>2</t>
  </si>
  <si>
    <t>450</t>
  </si>
  <si>
    <t>SO-1004</t>
  </si>
  <si>
    <t>2026-03-10</t>
  </si>
  <si>
    <t>evergreen retail</t>
  </si>
  <si>
    <t>N.</t>
  </si>
  <si>
    <t>2 units</t>
  </si>
  <si>
    <t>SO-1005</t>
  </si>
  <si>
    <t>2026-05-28</t>
  </si>
  <si>
    <t>EVERGREEN RETAIL</t>
  </si>
  <si>
    <t>SO-1006</t>
  </si>
  <si>
    <t>17/01/2026</t>
  </si>
  <si>
    <t xml:space="preserve">Delta Foods   </t>
  </si>
  <si>
    <t xml:space="preserve">west </t>
  </si>
  <si>
    <t>4</t>
  </si>
  <si>
    <t>SO-1007</t>
  </si>
  <si>
    <t>Jan 8 2026</t>
  </si>
  <si>
    <t xml:space="preserve">Granite Labs   </t>
  </si>
  <si>
    <t>Support Plan</t>
  </si>
  <si>
    <t>90</t>
  </si>
  <si>
    <t>SO-1008</t>
  </si>
  <si>
    <t>2026-05-06</t>
  </si>
  <si>
    <t>BLUE HARBOR LTD</t>
  </si>
  <si>
    <t>SO-1143</t>
  </si>
  <si>
    <t>2026-06-10</t>
  </si>
  <si>
    <t>North</t>
  </si>
  <si>
    <t>3 units</t>
  </si>
  <si>
    <t>SO-1009</t>
  </si>
  <si>
    <t>Feb 25 2026</t>
  </si>
  <si>
    <t xml:space="preserve">  Blue Harbor Ltd</t>
  </si>
  <si>
    <t>SO-1010</t>
  </si>
  <si>
    <t>Apr 7 2026</t>
  </si>
  <si>
    <t>5</t>
  </si>
  <si>
    <t>SO-1011</t>
  </si>
  <si>
    <t>Jan 27 2026</t>
  </si>
  <si>
    <t>east</t>
  </si>
  <si>
    <t>1</t>
  </si>
  <si>
    <t>SO-1012</t>
  </si>
  <si>
    <t>2026-04-24</t>
  </si>
  <si>
    <t>Acme Corp</t>
  </si>
  <si>
    <t xml:space="preserve"> NORTH</t>
  </si>
  <si>
    <t>SO-1013</t>
  </si>
  <si>
    <t>Feb 22 2026</t>
  </si>
  <si>
    <t>SO-1014</t>
  </si>
  <si>
    <t>2026-04-20</t>
  </si>
  <si>
    <t>SO-1015</t>
  </si>
  <si>
    <t>May 8 2026</t>
  </si>
  <si>
    <t>acme corp</t>
  </si>
  <si>
    <t>north</t>
  </si>
  <si>
    <t>SO-1016</t>
  </si>
  <si>
    <t>2026-03-08</t>
  </si>
  <si>
    <t>SO-1077</t>
  </si>
  <si>
    <t>2026-04-27</t>
  </si>
  <si>
    <t>FJORD SUPPLIES</t>
  </si>
  <si>
    <t xml:space="preserve"> East</t>
  </si>
  <si>
    <t>SO-1017</t>
  </si>
  <si>
    <t>13/01/2026</t>
  </si>
  <si>
    <t>SO-1018</t>
  </si>
  <si>
    <t>2026-03-21</t>
  </si>
  <si>
    <t>SO-1019</t>
  </si>
  <si>
    <t>31/05/2026</t>
  </si>
  <si>
    <t>W.</t>
  </si>
  <si>
    <t>SO-1020</t>
  </si>
  <si>
    <t>2026-04-29</t>
  </si>
  <si>
    <t>ACME CORP</t>
  </si>
  <si>
    <t>SO-1021</t>
  </si>
  <si>
    <t>2026-03-25</t>
  </si>
  <si>
    <t>horizon media</t>
  </si>
  <si>
    <t>SO-1022</t>
  </si>
  <si>
    <t>2026-03-09</t>
  </si>
  <si>
    <t>1 units</t>
  </si>
  <si>
    <t>SO-1023</t>
  </si>
  <si>
    <t>DELTA FOODS</t>
  </si>
  <si>
    <t>West</t>
  </si>
  <si>
    <t>SO-1024</t>
  </si>
  <si>
    <t>Apr 17 2026</t>
  </si>
  <si>
    <t>cedar &amp; co</t>
  </si>
  <si>
    <t>SO-1025</t>
  </si>
  <si>
    <t>2026-06-23</t>
  </si>
  <si>
    <t>SO-1026</t>
  </si>
  <si>
    <t>2026-01-19</t>
  </si>
  <si>
    <t>SO-1027</t>
  </si>
  <si>
    <t xml:space="preserve">Cedar &amp; Co   </t>
  </si>
  <si>
    <t>SO-1028</t>
  </si>
  <si>
    <t>2026-04-03</t>
  </si>
  <si>
    <t>blue harbor ltd</t>
  </si>
  <si>
    <t xml:space="preserve">south </t>
  </si>
  <si>
    <t>SO-1029</t>
  </si>
  <si>
    <t>2026-05-10</t>
  </si>
  <si>
    <t>Granite Labs</t>
  </si>
  <si>
    <t>SO-1030</t>
  </si>
  <si>
    <t>28/04/2026</t>
  </si>
  <si>
    <t>SO-1031</t>
  </si>
  <si>
    <t>Jan 5 2026</t>
  </si>
  <si>
    <t>CEDAR &amp; CO</t>
  </si>
  <si>
    <t>SO-1032</t>
  </si>
  <si>
    <t>Feb 9 2026</t>
  </si>
  <si>
    <t>Cedar &amp; Co</t>
  </si>
  <si>
    <t>East</t>
  </si>
  <si>
    <t>SO-1033</t>
  </si>
  <si>
    <t>29/06/2026</t>
  </si>
  <si>
    <t xml:space="preserve">  Delta Foods</t>
  </si>
  <si>
    <t>SO-1034</t>
  </si>
  <si>
    <t>2026-02-28</t>
  </si>
  <si>
    <t xml:space="preserve">  Acme Corp</t>
  </si>
  <si>
    <t>SO-1035</t>
  </si>
  <si>
    <t>08/01/2026</t>
  </si>
  <si>
    <t>GRANITE LABS</t>
  </si>
  <si>
    <t>SO-1036</t>
  </si>
  <si>
    <t>Jun 17 2026</t>
  </si>
  <si>
    <t xml:space="preserve">  Horizon Media</t>
  </si>
  <si>
    <t>5 units</t>
  </si>
  <si>
    <t>SO-1037</t>
  </si>
  <si>
    <t>25/04/2026</t>
  </si>
  <si>
    <t xml:space="preserve">  Cedar &amp; Co</t>
  </si>
  <si>
    <t>SO-1038</t>
  </si>
  <si>
    <t>Feb 3 2026</t>
  </si>
  <si>
    <t>Blue Harbor Ltd</t>
  </si>
  <si>
    <t>SOUTH</t>
  </si>
  <si>
    <t>SO-1039</t>
  </si>
  <si>
    <t>Jun 28 2026</t>
  </si>
  <si>
    <t>SO-1040</t>
  </si>
  <si>
    <t>SO-1041</t>
  </si>
  <si>
    <t>09/05/2026</t>
  </si>
  <si>
    <t xml:space="preserve">  Evergreen Retail</t>
  </si>
  <si>
    <t>SO-1042</t>
  </si>
  <si>
    <t>09/06/2026</t>
  </si>
  <si>
    <t xml:space="preserve">Evergreen Retail   </t>
  </si>
  <si>
    <t>SO-1043</t>
  </si>
  <si>
    <t>25/03/2026</t>
  </si>
  <si>
    <t>SO-1044</t>
  </si>
  <si>
    <t>2026-01-24</t>
  </si>
  <si>
    <t>HORIZON MEDIA</t>
  </si>
  <si>
    <t>SO-1045</t>
  </si>
  <si>
    <t>2026-06-20</t>
  </si>
  <si>
    <t>SO-1046</t>
  </si>
  <si>
    <t>14/03/2026</t>
  </si>
  <si>
    <t>delta foods</t>
  </si>
  <si>
    <t>SO-1047</t>
  </si>
  <si>
    <t>Jun 11 2026</t>
  </si>
  <si>
    <t>SO-1048</t>
  </si>
  <si>
    <t>Apr 22 2026</t>
  </si>
  <si>
    <t>SO-1049</t>
  </si>
  <si>
    <t>2026-02-20</t>
  </si>
  <si>
    <t>SO-1070</t>
  </si>
  <si>
    <t>SO-1050</t>
  </si>
  <si>
    <t>2026-02-14</t>
  </si>
  <si>
    <t>SO-1155</t>
  </si>
  <si>
    <t>fjord supplies</t>
  </si>
  <si>
    <t>SO-1051</t>
  </si>
  <si>
    <t xml:space="preserve">Fjord Supplies   </t>
  </si>
  <si>
    <t>SO-1052</t>
  </si>
  <si>
    <t>Jan 15 2026</t>
  </si>
  <si>
    <t>SO-1053</t>
  </si>
  <si>
    <t>May 21 2026</t>
  </si>
  <si>
    <t>granite labs</t>
  </si>
  <si>
    <t>SO-1054</t>
  </si>
  <si>
    <t>2026-06-11</t>
  </si>
  <si>
    <t xml:space="preserve">Horizon Media   </t>
  </si>
  <si>
    <t>SO-1055</t>
  </si>
  <si>
    <t>Feb 8 2026</t>
  </si>
  <si>
    <t>SO-1056</t>
  </si>
  <si>
    <t>2026-01-21</t>
  </si>
  <si>
    <t>Evergreen Retail</t>
  </si>
  <si>
    <t>SO-1057</t>
  </si>
  <si>
    <t>11/05/2026</t>
  </si>
  <si>
    <t>SO-1058</t>
  </si>
  <si>
    <t>Apr 16 2026</t>
  </si>
  <si>
    <t>SO-1059</t>
  </si>
  <si>
    <t>11/01/2026</t>
  </si>
  <si>
    <t>SO-1060</t>
  </si>
  <si>
    <t>SO-1061</t>
  </si>
  <si>
    <t>Mar 8 2026</t>
  </si>
  <si>
    <t>WEST</t>
  </si>
  <si>
    <t>SO-1115</t>
  </si>
  <si>
    <t>Jun 24 2026</t>
  </si>
  <si>
    <t>Horizon Media</t>
  </si>
  <si>
    <t>SO-1062</t>
  </si>
  <si>
    <t>30/06/2026</t>
  </si>
  <si>
    <t xml:space="preserve">  Granite Labs</t>
  </si>
  <si>
    <t>SO-1063</t>
  </si>
  <si>
    <t>2026-02-03</t>
  </si>
  <si>
    <t>SO-1064</t>
  </si>
  <si>
    <t>Mar 12 2026</t>
  </si>
  <si>
    <t>SO-1065</t>
  </si>
  <si>
    <t>Jun 9 2026</t>
  </si>
  <si>
    <t>SO-1066</t>
  </si>
  <si>
    <t>11/06/2026</t>
  </si>
  <si>
    <t>SO-1067</t>
  </si>
  <si>
    <t>04/01/2026</t>
  </si>
  <si>
    <t>SO-1068</t>
  </si>
  <si>
    <t>Apr 29 2026</t>
  </si>
  <si>
    <t>SO-1069</t>
  </si>
  <si>
    <t>May 17 2026</t>
  </si>
  <si>
    <t>2026-01-08</t>
  </si>
  <si>
    <t>SO-1071</t>
  </si>
  <si>
    <t>2026-03-04</t>
  </si>
  <si>
    <t>SO-1072</t>
  </si>
  <si>
    <t>Apr 20 2026</t>
  </si>
  <si>
    <t>SO-1073</t>
  </si>
  <si>
    <t>2026-01-25</t>
  </si>
  <si>
    <t>SO-1074</t>
  </si>
  <si>
    <t>Mar 5 2026</t>
  </si>
  <si>
    <t>SO-1075</t>
  </si>
  <si>
    <t>2026-01-29</t>
  </si>
  <si>
    <t>SO-1076</t>
  </si>
  <si>
    <t>21/06/2026</t>
  </si>
  <si>
    <t>27/04/2026</t>
  </si>
  <si>
    <t xml:space="preserve">  Fjord Supplies</t>
  </si>
  <si>
    <t>SO-1078</t>
  </si>
  <si>
    <t>2026-04-22</t>
  </si>
  <si>
    <t>SO-1079</t>
  </si>
  <si>
    <t>May 24 2026</t>
  </si>
  <si>
    <t>2026-02-08</t>
  </si>
  <si>
    <t>SO-1080</t>
  </si>
  <si>
    <t>16/03/2026</t>
  </si>
  <si>
    <t>SO-1081</t>
  </si>
  <si>
    <t>2026-02-10</t>
  </si>
  <si>
    <t>SO-1082</t>
  </si>
  <si>
    <t>06/05/2026</t>
  </si>
  <si>
    <t>SO-1083</t>
  </si>
  <si>
    <t>2026-03-23</t>
  </si>
  <si>
    <t>SO-1084</t>
  </si>
  <si>
    <t>SO-1085</t>
  </si>
  <si>
    <t>12/04/2026</t>
  </si>
  <si>
    <t>SO-1086</t>
  </si>
  <si>
    <t>Mar 25 2026</t>
  </si>
  <si>
    <t>SO-1119</t>
  </si>
  <si>
    <t>22/04/2026</t>
  </si>
  <si>
    <t>SO-1087</t>
  </si>
  <si>
    <t>Mar 16 2026</t>
  </si>
  <si>
    <t>SO-1088</t>
  </si>
  <si>
    <t>SO-1089</t>
  </si>
  <si>
    <t>07/02/2026</t>
  </si>
  <si>
    <t>SO-1090</t>
  </si>
  <si>
    <t>26/04/2026</t>
  </si>
  <si>
    <t>SO-1091</t>
  </si>
  <si>
    <t>Jan 12 2026</t>
  </si>
  <si>
    <t>SO-1092</t>
  </si>
  <si>
    <t>16/06/2026</t>
  </si>
  <si>
    <t>SO-1093</t>
  </si>
  <si>
    <t>25/01/2026</t>
  </si>
  <si>
    <t>SO-1094</t>
  </si>
  <si>
    <t>SO-1095</t>
  </si>
  <si>
    <t>2026-05-30</t>
  </si>
  <si>
    <t>SO-1096</t>
  </si>
  <si>
    <t>24/01/2026</t>
  </si>
  <si>
    <t>SO-1097</t>
  </si>
  <si>
    <t>2026-01-10</t>
  </si>
  <si>
    <t>SO-1098</t>
  </si>
  <si>
    <t>07/04/2026</t>
  </si>
  <si>
    <t>SO-1099</t>
  </si>
  <si>
    <t>Jun 13 2026</t>
  </si>
  <si>
    <t>SO-1100</t>
  </si>
  <si>
    <t>15/03/2026</t>
  </si>
  <si>
    <t>SO-1101</t>
  </si>
  <si>
    <t>SO-1102</t>
  </si>
  <si>
    <t>25/05/2026</t>
  </si>
  <si>
    <t>SO-1103</t>
  </si>
  <si>
    <t>2026-05-09</t>
  </si>
  <si>
    <t>SO-1104</t>
  </si>
  <si>
    <t>2026-03-22</t>
  </si>
  <si>
    <t>SO-1105</t>
  </si>
  <si>
    <t>May 29 2026</t>
  </si>
  <si>
    <t>SO-1106</t>
  </si>
  <si>
    <t>2026-06-16</t>
  </si>
  <si>
    <t>SO-1107</t>
  </si>
  <si>
    <t>2026-06-03</t>
  </si>
  <si>
    <t>SO-1108</t>
  </si>
  <si>
    <t>Jan 24 2026</t>
  </si>
  <si>
    <t>SO-1109</t>
  </si>
  <si>
    <t>2026-01-06</t>
  </si>
  <si>
    <t>2026-06-28</t>
  </si>
  <si>
    <t>SO-1135</t>
  </si>
  <si>
    <t>SO-1110</t>
  </si>
  <si>
    <t>2026-05-08</t>
  </si>
  <si>
    <t>SO-1111</t>
  </si>
  <si>
    <t>2026-01-28</t>
  </si>
  <si>
    <t>SO-1112</t>
  </si>
  <si>
    <t>Jun 27 2026</t>
  </si>
  <si>
    <t>SO-1113</t>
  </si>
  <si>
    <t>29/03/2026</t>
  </si>
  <si>
    <t>SO-1114</t>
  </si>
  <si>
    <t>21/02/2026</t>
  </si>
  <si>
    <t>24/06/2026</t>
  </si>
  <si>
    <t>SO-1116</t>
  </si>
  <si>
    <t>SO-1117</t>
  </si>
  <si>
    <t>24/03/2026</t>
  </si>
  <si>
    <t>SO-1118</t>
  </si>
  <si>
    <t>15/02/2026</t>
  </si>
  <si>
    <t>SO-1120</t>
  </si>
  <si>
    <t>03/05/2026</t>
  </si>
  <si>
    <t>SO-1121</t>
  </si>
  <si>
    <t>Jan 21 2026</t>
  </si>
  <si>
    <t>SO-1122</t>
  </si>
  <si>
    <t>2026-03-05</t>
  </si>
  <si>
    <t>SO-1123</t>
  </si>
  <si>
    <t>24/04/2026</t>
  </si>
  <si>
    <t>SO-1124</t>
  </si>
  <si>
    <t>23/06/2026</t>
  </si>
  <si>
    <t>SO-1125</t>
  </si>
  <si>
    <t>2026-03-16</t>
  </si>
  <si>
    <t>SO-1126</t>
  </si>
  <si>
    <t xml:space="preserve">Acme Corp   </t>
  </si>
  <si>
    <t>SO-1127</t>
  </si>
  <si>
    <t>Mar 28 2026</t>
  </si>
  <si>
    <t>SO-1128</t>
  </si>
  <si>
    <t>21/01/2026</t>
  </si>
  <si>
    <t>Delta Foods</t>
  </si>
  <si>
    <t>SO-1129</t>
  </si>
  <si>
    <t>Jun 21 2026</t>
  </si>
  <si>
    <t>SO-1130</t>
  </si>
  <si>
    <t>Mar 10 2026</t>
  </si>
  <si>
    <t>SO-1131</t>
  </si>
  <si>
    <t>28/01/2026</t>
  </si>
  <si>
    <t>SO-1132</t>
  </si>
  <si>
    <t>2026-04-05</t>
  </si>
  <si>
    <t>SO-1133</t>
  </si>
  <si>
    <t>01/02/2026</t>
  </si>
  <si>
    <t>SO-1134</t>
  </si>
  <si>
    <t>Feb 1 2026</t>
  </si>
  <si>
    <t>SO-1136</t>
  </si>
  <si>
    <t>07/01/2026</t>
  </si>
  <si>
    <t>SO-1137</t>
  </si>
  <si>
    <t>Apr 14 2026</t>
  </si>
  <si>
    <t>SO-1138</t>
  </si>
  <si>
    <t>SO-1139</t>
  </si>
  <si>
    <t>14/01/2026</t>
  </si>
  <si>
    <t>SO-1140</t>
  </si>
  <si>
    <t>SO-1141</t>
  </si>
  <si>
    <t>2026-02-15</t>
  </si>
  <si>
    <t>SO-1142</t>
  </si>
  <si>
    <t>2026-03-19</t>
  </si>
  <si>
    <t>10/06/2026</t>
  </si>
  <si>
    <t>SO-1144</t>
  </si>
  <si>
    <t>2026-04-02</t>
  </si>
  <si>
    <t>SO-1145</t>
  </si>
  <si>
    <t>17/04/2026</t>
  </si>
  <si>
    <t>SO-1146</t>
  </si>
  <si>
    <t>SO-1147</t>
  </si>
  <si>
    <t>2026-04-16</t>
  </si>
  <si>
    <t>SO-1148</t>
  </si>
  <si>
    <t>Feb 12 2026</t>
  </si>
  <si>
    <t>SO-1149</t>
  </si>
  <si>
    <t>28/05/2026</t>
  </si>
  <si>
    <t>SO-1150</t>
  </si>
  <si>
    <t>SO-1151</t>
  </si>
  <si>
    <t>Jan 30 2026</t>
  </si>
  <si>
    <t>SO-1152</t>
  </si>
  <si>
    <t>Feb 7 2026</t>
  </si>
  <si>
    <t>SO-1153</t>
  </si>
  <si>
    <t>2026-02-02</t>
  </si>
  <si>
    <t>SO-1154</t>
  </si>
  <si>
    <t>08/03/2026</t>
  </si>
  <si>
    <t>SO-1156</t>
  </si>
  <si>
    <t>Jan 6 2026</t>
  </si>
  <si>
    <t>SO-1157</t>
  </si>
  <si>
    <t>SO-1158</t>
  </si>
  <si>
    <t>2026-06-02</t>
  </si>
  <si>
    <t>SO-1159</t>
  </si>
  <si>
    <t>Mar 11 2026</t>
  </si>
  <si>
    <t>SO-1160</t>
  </si>
  <si>
    <t>30/05/2026</t>
  </si>
  <si>
    <t>SO-1161</t>
  </si>
  <si>
    <t>May 28 2026</t>
  </si>
  <si>
    <t>SO-1162</t>
  </si>
  <si>
    <t>SO-1163</t>
  </si>
  <si>
    <t>05/02/2026</t>
  </si>
  <si>
    <t>SO-1164</t>
  </si>
  <si>
    <t>SO-1165</t>
  </si>
  <si>
    <t>29/04/2026</t>
  </si>
  <si>
    <t>SO-1166</t>
  </si>
  <si>
    <t>15/05/2026</t>
  </si>
  <si>
    <t>SO-1167</t>
  </si>
  <si>
    <t>2026-04-23</t>
  </si>
  <si>
    <t>SO-1168</t>
  </si>
  <si>
    <t>SO-1169</t>
  </si>
  <si>
    <t>2026-04-25</t>
  </si>
  <si>
    <t>SO-1170</t>
  </si>
  <si>
    <t>2026-04-17</t>
  </si>
  <si>
    <t>SO-1171</t>
  </si>
  <si>
    <t>06/04/2026</t>
  </si>
  <si>
    <t>SO-1172</t>
  </si>
  <si>
    <t>Jan 19 2026</t>
  </si>
  <si>
    <t>SO-1173</t>
  </si>
  <si>
    <t>2026-06-22</t>
  </si>
  <si>
    <t>SO-1174</t>
  </si>
  <si>
    <t>13/02/2026</t>
  </si>
  <si>
    <t>SO-1175</t>
  </si>
  <si>
    <t>27/05/2026</t>
  </si>
  <si>
    <t>4 units</t>
  </si>
  <si>
    <t>SO-1176</t>
  </si>
  <si>
    <t>SO-1177</t>
  </si>
  <si>
    <t>2026-01-22</t>
  </si>
  <si>
    <t>SO-1178</t>
  </si>
  <si>
    <t>2026-01-07</t>
  </si>
  <si>
    <t>SO-1179</t>
  </si>
  <si>
    <t>Feb 14 2026</t>
  </si>
  <si>
    <t>SO-1180</t>
  </si>
  <si>
    <t>2026-02-26</t>
  </si>
  <si>
    <t>Month</t>
  </si>
  <si>
    <t>Revenue</t>
  </si>
  <si>
    <t>Sales Dashboard - H1 2026</t>
  </si>
  <si>
    <t>Every number below is a live formula on the Clean Data sheet.</t>
  </si>
  <si>
    <t>Total revenue</t>
  </si>
  <si>
    <t>Orders</t>
  </si>
  <si>
    <t>Avg order value</t>
  </si>
  <si>
    <t>Top customer</t>
  </si>
  <si>
    <t>Total</t>
  </si>
  <si>
    <t>Step</t>
  </si>
  <si>
    <t>Rows affected</t>
  </si>
  <si>
    <t>Rows in raw export</t>
  </si>
  <si>
    <t>Duplicate orders removed (same Order ID)</t>
  </si>
  <si>
    <t>Customer names trimmed / re-cased</t>
  </si>
  <si>
    <t>Region labels standardized (e.g. "N.", " north" -&gt; North)</t>
  </si>
  <si>
    <t>Text dates in 3 formats converted to real dates</t>
  </si>
  <si>
    <t>Units stored as text ("3 units") converted to numbers</t>
  </si>
  <si>
    <t>Clean orders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</si>
</sst>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[$-409]mmm\ yyyy"/>
    <numFmt numFmtId="166" formatCode="\$#,##0"/>
  </numFmts>
  <fonts count="5" x14ac:knownFonts="1"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b/>
      <sz val="11"/>
      <color rgb="FFFFFFFF"/>
      <name val="Arial"/>
      <family val="2"/>
      <scheme val="minor"/>
    </font>
    <font>
      <b/>
      <sz val="18"/>
      <color theme="1"/>
      <name val="Arial"/>
      <family val="2"/>
      <scheme val="minor"/>
    </font>
    <font>
      <i/>
      <sz val="11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3A5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/>
    <xf numFmtId="49" fontId="2" fillId="2" borderId="0" xfId="0" applyNumberFormat="1" applyFont="1" applyFill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4" fillId="0" borderId="0" xfId="0" applyFont="1"/>
    <xf numFmtId="1" fontId="0" fillId="0" borderId="0" xfId="0" applyNumberFormat="1"/>
  </cellXfs>
  <cellStyles count="1">
    <cellStyle name="Normal" xfId="0" builtinId="0"/>
  </cellStyles>
  <dxfs count="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family val="2"/>
        <scheme val="minor"/>
      </font>
      <fill>
        <patternFill patternType="solid">
          <fgColor indexed="64"/>
          <bgColor rgb="FF1F3A5E"/>
        </patternFill>
      </fill>
    </dxf>
    <dxf>
      <numFmt numFmtId="166" formatCode="\$#,##0"/>
    </dxf>
    <dxf>
      <numFmt numFmtId="166" formatCode="\$#,##0"/>
    </dxf>
    <dxf>
      <numFmt numFmtId="165" formatCode="[$-409]mmm\ yyyy"/>
    </dxf>
    <dxf>
      <numFmt numFmtId="164" formatCode="yyyy\-mm\-dd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Monthly revenue by region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Dashboard!$B$10</c:f>
              <c:strCache>
                <c:ptCount val="1"/>
                <c:pt idx="0">
                  <c:v>North</c:v>
                </c:pt>
              </c:strCache>
            </c:strRef>
          </c:tx>
          <c:invertIfNegative val="0"/>
          <c:cat>
            <c:numRef>
              <c:f>Dashboard!$A$11:$A$16</c:f>
              <c:numCache>
                <c:formatCode>[$-409]mmm\ yyyy</c:formatCode>
                <c:ptCount val="6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</c:numCache>
            </c:numRef>
          </c:cat>
          <c:val>
            <c:numRef>
              <c:f>Dashboard!$B$11:$B$16</c:f>
              <c:numCache>
                <c:formatCode>\$#,##0</c:formatCode>
                <c:ptCount val="6"/>
                <c:pt idx="0">
                  <c:v>11890</c:v>
                </c:pt>
                <c:pt idx="1">
                  <c:v>5260</c:v>
                </c:pt>
                <c:pt idx="2">
                  <c:v>9400</c:v>
                </c:pt>
                <c:pt idx="3">
                  <c:v>2850</c:v>
                </c:pt>
                <c:pt idx="4">
                  <c:v>5110</c:v>
                </c:pt>
                <c:pt idx="5">
                  <c:v>4400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ACB-4C97-8A87-D74545DBF6B7}"/>
            </c:ext>
          </c:extLst>
        </c:ser>
        <c:ser>
          <c:idx val="1"/>
          <c:order val="1"/>
          <c:tx>
            <c:strRef>
              <c:f>Dashboard!$C$10</c:f>
              <c:strCache>
                <c:ptCount val="1"/>
                <c:pt idx="0">
                  <c:v>South</c:v>
                </c:pt>
              </c:strCache>
            </c:strRef>
          </c:tx>
          <c:invertIfNegative val="0"/>
          <c:cat>
            <c:numRef>
              <c:f>Dashboard!$A$11:$A$16</c:f>
              <c:numCache>
                <c:formatCode>[$-409]mmm\ yyyy</c:formatCode>
                <c:ptCount val="6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</c:numCache>
            </c:numRef>
          </c:cat>
          <c:val>
            <c:numRef>
              <c:f>Dashboard!$C$11:$C$16</c:f>
              <c:numCache>
                <c:formatCode>\$#,##0</c:formatCode>
                <c:ptCount val="6"/>
                <c:pt idx="0">
                  <c:v>3260</c:v>
                </c:pt>
                <c:pt idx="1">
                  <c:v>10410</c:v>
                </c:pt>
                <c:pt idx="2">
                  <c:v>5190</c:v>
                </c:pt>
                <c:pt idx="3">
                  <c:v>3490</c:v>
                </c:pt>
                <c:pt idx="4">
                  <c:v>10710</c:v>
                </c:pt>
                <c:pt idx="5">
                  <c:v>7250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ACB-4C97-8A87-D74545DBF6B7}"/>
            </c:ext>
          </c:extLst>
        </c:ser>
        <c:ser>
          <c:idx val="2"/>
          <c:order val="2"/>
          <c:tx>
            <c:strRef>
              <c:f>Dashboard!$D$10</c:f>
              <c:strCache>
                <c:ptCount val="1"/>
                <c:pt idx="0">
                  <c:v>East</c:v>
                </c:pt>
              </c:strCache>
            </c:strRef>
          </c:tx>
          <c:invertIfNegative val="0"/>
          <c:cat>
            <c:numRef>
              <c:f>Dashboard!$A$11:$A$16</c:f>
              <c:numCache>
                <c:formatCode>[$-409]mmm\ yyyy</c:formatCode>
                <c:ptCount val="6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</c:numCache>
            </c:numRef>
          </c:cat>
          <c:val>
            <c:numRef>
              <c:f>Dashboard!$D$11:$D$16</c:f>
              <c:numCache>
                <c:formatCode>\$#,##0</c:formatCode>
                <c:ptCount val="6"/>
                <c:pt idx="0">
                  <c:v>5070</c:v>
                </c:pt>
                <c:pt idx="1">
                  <c:v>4050</c:v>
                </c:pt>
                <c:pt idx="2">
                  <c:v>5670</c:v>
                </c:pt>
                <c:pt idx="3">
                  <c:v>5970</c:v>
                </c:pt>
                <c:pt idx="4">
                  <c:v>2590</c:v>
                </c:pt>
                <c:pt idx="5">
                  <c:v>1450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ACB-4C97-8A87-D74545DBF6B7}"/>
            </c:ext>
          </c:extLst>
        </c:ser>
        <c:ser>
          <c:idx val="3"/>
          <c:order val="3"/>
          <c:tx>
            <c:strRef>
              <c:f>Dashboard!$E$10</c:f>
              <c:strCache>
                <c:ptCount val="1"/>
                <c:pt idx="0">
                  <c:v>West</c:v>
                </c:pt>
              </c:strCache>
            </c:strRef>
          </c:tx>
          <c:invertIfNegative val="0"/>
          <c:cat>
            <c:numRef>
              <c:f>Dashboard!$A$11:$A$16</c:f>
              <c:numCache>
                <c:formatCode>[$-409]mmm\ yyyy</c:formatCode>
                <c:ptCount val="6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</c:numCache>
            </c:numRef>
          </c:cat>
          <c:val>
            <c:numRef>
              <c:f>Dashboard!$E$11:$E$16</c:f>
              <c:numCache>
                <c:formatCode>\$#,##0</c:formatCode>
                <c:ptCount val="6"/>
                <c:pt idx="0">
                  <c:v>6410</c:v>
                </c:pt>
                <c:pt idx="1">
                  <c:v>1740</c:v>
                </c:pt>
                <c:pt idx="2">
                  <c:v>6680</c:v>
                </c:pt>
                <c:pt idx="3">
                  <c:v>3640</c:v>
                </c:pt>
                <c:pt idx="4">
                  <c:v>1080</c:v>
                </c:pt>
                <c:pt idx="5">
                  <c:v>6110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ACB-4C97-8A87-D74545DBF6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11348367"/>
        <c:axId val="1883024687"/>
      </c:barChart>
      <c:catAx>
        <c:axId val="1411348367"/>
        <c:scaling>
          <c:orientation val="minMax"/>
        </c:scaling>
        <c:delete val="0"/>
        <c:axPos val="b"/>
        <c:numFmt formatCode="[$-409]mmm" sourceLinked="0"/>
        <c:majorTickMark val="out"/>
        <c:minorTickMark val="none"/>
        <c:tickLblPos val="nextTo"/>
        <c:crossAx val="1883024687"/>
        <c:crosses val="autoZero"/>
        <c:auto val="0"/>
        <c:lblAlgn val="ctr"/>
        <c:lblOffset val="100"/>
        <c:noMultiLvlLbl val="0"/>
      </c:catAx>
      <c:valAx>
        <c:axId val="1883024687"/>
        <c:scaling>
          <c:orientation val="minMax"/>
        </c:scaling>
        <c:delete val="0"/>
        <c:axPos val="l"/>
        <c:majorGridlines/>
        <c:numFmt formatCode="\$#,##0" sourceLinked="1"/>
        <c:majorTickMark val="out"/>
        <c:minorTickMark val="none"/>
        <c:tickLblPos val="nextTo"/>
        <c:crossAx val="1411348367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254000</xdr:colOff>
      <xdr:row>23</xdr:row>
      <xdr:rowOff>165100</xdr:rowOff>
    </xdr:from>
    <xdr:to>
      <xdr:col>11</xdr:col>
      <xdr:colOff>248920</xdr:colOff>
      <xdr:row>45</xdr:row>
      <xdr:rowOff>119380</xdr:rowOff>
    </xdr:to>
    <xdr:graphicFrame macro="">
      <xdr:nvGraphicFramePr>
        <xdr:cNvPr id="2" name="תרשים 1">
          <a:extLst>
            <a:ext uri="{FF2B5EF4-FFF2-40B4-BE49-F238E27FC236}">
              <a16:creationId xmlns:a16="http://schemas.microsoft.com/office/drawing/2014/main" id="{4E289D95-733A-6628-AE7F-B0F90F478E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914C886-3B9B-413A-B578-3B99EFC4B25B}" name="טבלה1" displayName="טבלה1" ref="A1:I181" totalsRowShown="0" headerRowDxfId="0">
  <autoFilter ref="A1:I181" xr:uid="{6914C886-3B9B-413A-B578-3B99EFC4B25B}"/>
  <tableColumns count="9">
    <tableColumn id="1" xr3:uid="{A72DB9F6-FC14-42A8-AC2A-628A33DB8BE3}" name="Order ID"/>
    <tableColumn id="2" xr3:uid="{F3B7E6FA-0158-43C7-B5E4-72F40A4AB03A}" name="Order Date" dataDxfId="4"/>
    <tableColumn id="3" xr3:uid="{CBD4BDC8-4ECA-48B1-A8F9-D35C80F85101}" name="Month" dataDxfId="3">
      <calculatedColumnFormula>DATE(YEAR(B2),MONTH(B2),1)</calculatedColumnFormula>
    </tableColumn>
    <tableColumn id="4" xr3:uid="{5410F8F5-DA9B-4D22-9970-8F7408983C16}" name="Customer"/>
    <tableColumn id="5" xr3:uid="{C854866E-CACA-4E1B-8C98-9999076A8304}" name="Region"/>
    <tableColumn id="6" xr3:uid="{124255E7-61DE-4DE5-88C0-06229776B04E}" name="Product"/>
    <tableColumn id="7" xr3:uid="{C54F56CC-2308-42B7-994A-4E621B5844E0}" name="Units"/>
    <tableColumn id="8" xr3:uid="{3B4C0A75-BD88-44A2-AFD0-4A1D93661D1E}" name="Unit Price" dataDxfId="2"/>
    <tableColumn id="9" xr3:uid="{DDEF3B4B-609C-4679-8A12-884902651A0F}" name="Revenue" dataDxfId="1">
      <calculatedColumnFormula>G2*H2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3DA60-A1D2-445C-B27C-DA0BDD4223FC}">
  <dimension ref="A1:I21"/>
  <sheetViews>
    <sheetView tabSelected="1" workbookViewId="0"/>
  </sheetViews>
  <sheetFormatPr defaultRowHeight="13.8" x14ac:dyDescent="0.25"/>
  <cols>
    <col min="1" max="1" width="15" bestFit="1" customWidth="1"/>
    <col min="2" max="2" width="11.19921875" bestFit="1" customWidth="1"/>
    <col min="3" max="3" width="7.3984375" bestFit="1" customWidth="1"/>
    <col min="4" max="5" width="6.3984375" bestFit="1" customWidth="1"/>
    <col min="6" max="6" width="7.3984375" bestFit="1" customWidth="1"/>
    <col min="8" max="8" width="14.3984375" bestFit="1" customWidth="1"/>
  </cols>
  <sheetData>
    <row r="1" spans="1:9" ht="22.8" x14ac:dyDescent="0.4">
      <c r="A1" s="8" t="s">
        <v>426</v>
      </c>
    </row>
    <row r="2" spans="1:9" ht="14.4" x14ac:dyDescent="0.3">
      <c r="A2" s="9" t="s">
        <v>427</v>
      </c>
    </row>
    <row r="4" spans="1:9" x14ac:dyDescent="0.25">
      <c r="A4" s="6" t="s">
        <v>428</v>
      </c>
      <c r="B4" s="5">
        <f>SUM('Clean Data'!I:I)</f>
        <v>129680</v>
      </c>
    </row>
    <row r="5" spans="1:9" x14ac:dyDescent="0.25">
      <c r="A5" s="6" t="s">
        <v>429</v>
      </c>
      <c r="B5" s="10">
        <f>COUNTA('Clean Data'!A:A)-1</f>
        <v>180</v>
      </c>
    </row>
    <row r="6" spans="1:9" x14ac:dyDescent="0.25">
      <c r="A6" s="6" t="s">
        <v>430</v>
      </c>
      <c r="B6" s="5">
        <f>B4/B5</f>
        <v>720.44444444444446</v>
      </c>
    </row>
    <row r="7" spans="1:9" x14ac:dyDescent="0.25">
      <c r="A7" s="6" t="s">
        <v>431</v>
      </c>
      <c r="B7" t="str">
        <f>INDEX(H14:H21,MATCH(MAX(I14:I21),I14:I21,0))</f>
        <v>Granite Labs</v>
      </c>
    </row>
    <row r="10" spans="1:9" x14ac:dyDescent="0.25">
      <c r="A10" s="7" t="s">
        <v>424</v>
      </c>
      <c r="B10" s="7" t="s">
        <v>49</v>
      </c>
      <c r="C10" s="7" t="s">
        <v>22</v>
      </c>
      <c r="D10" s="7" t="s">
        <v>122</v>
      </c>
      <c r="E10" s="7" t="s">
        <v>97</v>
      </c>
      <c r="F10" s="7" t="s">
        <v>432</v>
      </c>
    </row>
    <row r="11" spans="1:9" x14ac:dyDescent="0.25">
      <c r="A11" s="4">
        <v>46023</v>
      </c>
      <c r="B11" s="5">
        <f>SUMIFS('Clean Data'!$I:$I,'Clean Data'!$C:$C,$A11,'Clean Data'!$E:$E,B$10)</f>
        <v>11890</v>
      </c>
      <c r="C11" s="5">
        <f>SUMIFS('Clean Data'!$I:$I,'Clean Data'!$C:$C,$A11,'Clean Data'!$E:$E,C$10)</f>
        <v>3260</v>
      </c>
      <c r="D11" s="5">
        <f>SUMIFS('Clean Data'!$I:$I,'Clean Data'!$C:$C,$A11,'Clean Data'!$E:$E,D$10)</f>
        <v>5070</v>
      </c>
      <c r="E11" s="5">
        <f>SUMIFS('Clean Data'!$I:$I,'Clean Data'!$C:$C,$A11,'Clean Data'!$E:$E,E$10)</f>
        <v>6410</v>
      </c>
      <c r="F11" s="5">
        <f>SUM(B11:E11)</f>
        <v>26630</v>
      </c>
    </row>
    <row r="12" spans="1:9" x14ac:dyDescent="0.25">
      <c r="A12" s="4">
        <v>46054</v>
      </c>
      <c r="B12" s="5">
        <f>SUMIFS('Clean Data'!$I:$I,'Clean Data'!$C:$C,$A12,'Clean Data'!$E:$E,B$10)</f>
        <v>5260</v>
      </c>
      <c r="C12" s="5">
        <f>SUMIFS('Clean Data'!$I:$I,'Clean Data'!$C:$C,$A12,'Clean Data'!$E:$E,C$10)</f>
        <v>10410</v>
      </c>
      <c r="D12" s="5">
        <f>SUMIFS('Clean Data'!$I:$I,'Clean Data'!$C:$C,$A12,'Clean Data'!$E:$E,D$10)</f>
        <v>4050</v>
      </c>
      <c r="E12" s="5">
        <f>SUMIFS('Clean Data'!$I:$I,'Clean Data'!$C:$C,$A12,'Clean Data'!$E:$E,E$10)</f>
        <v>1740</v>
      </c>
      <c r="F12" s="5">
        <f>SUM(B12:E12)</f>
        <v>21460</v>
      </c>
    </row>
    <row r="13" spans="1:9" x14ac:dyDescent="0.25">
      <c r="A13" s="4">
        <v>46082</v>
      </c>
      <c r="B13" s="5">
        <f>SUMIFS('Clean Data'!$I:$I,'Clean Data'!$C:$C,$A13,'Clean Data'!$E:$E,B$10)</f>
        <v>9400</v>
      </c>
      <c r="C13" s="5">
        <f>SUMIFS('Clean Data'!$I:$I,'Clean Data'!$C:$C,$A13,'Clean Data'!$E:$E,C$10)</f>
        <v>5190</v>
      </c>
      <c r="D13" s="5">
        <f>SUMIFS('Clean Data'!$I:$I,'Clean Data'!$C:$C,$A13,'Clean Data'!$E:$E,D$10)</f>
        <v>5670</v>
      </c>
      <c r="E13" s="5">
        <f>SUMIFS('Clean Data'!$I:$I,'Clean Data'!$C:$C,$A13,'Clean Data'!$E:$E,E$10)</f>
        <v>6680</v>
      </c>
      <c r="F13" s="5">
        <f>SUM(B13:E13)</f>
        <v>26940</v>
      </c>
      <c r="H13" s="7" t="s">
        <v>2</v>
      </c>
      <c r="I13" s="7" t="s">
        <v>425</v>
      </c>
    </row>
    <row r="14" spans="1:9" x14ac:dyDescent="0.25">
      <c r="A14" s="4">
        <v>46113</v>
      </c>
      <c r="B14" s="5">
        <f>SUMIFS('Clean Data'!$I:$I,'Clean Data'!$C:$C,$A14,'Clean Data'!$E:$E,B$10)</f>
        <v>2850</v>
      </c>
      <c r="C14" s="5">
        <f>SUMIFS('Clean Data'!$I:$I,'Clean Data'!$C:$C,$A14,'Clean Data'!$E:$E,C$10)</f>
        <v>3490</v>
      </c>
      <c r="D14" s="5">
        <f>SUMIFS('Clean Data'!$I:$I,'Clean Data'!$C:$C,$A14,'Clean Data'!$E:$E,D$10)</f>
        <v>5970</v>
      </c>
      <c r="E14" s="5">
        <f>SUMIFS('Clean Data'!$I:$I,'Clean Data'!$C:$C,$A14,'Clean Data'!$E:$E,E$10)</f>
        <v>3640</v>
      </c>
      <c r="F14" s="5">
        <f>SUM(B14:E14)</f>
        <v>15950</v>
      </c>
      <c r="H14" t="s">
        <v>63</v>
      </c>
      <c r="I14" s="5">
        <f>SUMIFS('Clean Data'!$I:$I,'Clean Data'!$D:$D,H14)</f>
        <v>19140</v>
      </c>
    </row>
    <row r="15" spans="1:9" x14ac:dyDescent="0.25">
      <c r="A15" s="4">
        <v>46143</v>
      </c>
      <c r="B15" s="5">
        <f>SUMIFS('Clean Data'!$I:$I,'Clean Data'!$C:$C,$A15,'Clean Data'!$E:$E,B$10)</f>
        <v>5110</v>
      </c>
      <c r="C15" s="5">
        <f>SUMIFS('Clean Data'!$I:$I,'Clean Data'!$C:$C,$A15,'Clean Data'!$E:$E,C$10)</f>
        <v>10710</v>
      </c>
      <c r="D15" s="5">
        <f>SUMIFS('Clean Data'!$I:$I,'Clean Data'!$C:$C,$A15,'Clean Data'!$E:$E,D$10)</f>
        <v>2590</v>
      </c>
      <c r="E15" s="5">
        <f>SUMIFS('Clean Data'!$I:$I,'Clean Data'!$C:$C,$A15,'Clean Data'!$E:$E,E$10)</f>
        <v>1080</v>
      </c>
      <c r="F15" s="5">
        <f>SUM(B15:E15)</f>
        <v>19490</v>
      </c>
      <c r="H15" t="s">
        <v>141</v>
      </c>
      <c r="I15" s="5">
        <f>SUMIFS('Clean Data'!$I:$I,'Clean Data'!$D:$D,H15)</f>
        <v>20050</v>
      </c>
    </row>
    <row r="16" spans="1:9" x14ac:dyDescent="0.25">
      <c r="A16" s="4">
        <v>46174</v>
      </c>
      <c r="B16" s="5">
        <f>SUMIFS('Clean Data'!$I:$I,'Clean Data'!$C:$C,$A16,'Clean Data'!$E:$E,B$10)</f>
        <v>4400</v>
      </c>
      <c r="C16" s="5">
        <f>SUMIFS('Clean Data'!$I:$I,'Clean Data'!$C:$C,$A16,'Clean Data'!$E:$E,C$10)</f>
        <v>7250</v>
      </c>
      <c r="D16" s="5">
        <f>SUMIFS('Clean Data'!$I:$I,'Clean Data'!$C:$C,$A16,'Clean Data'!$E:$E,D$10)</f>
        <v>1450</v>
      </c>
      <c r="E16" s="5">
        <f>SUMIFS('Clean Data'!$I:$I,'Clean Data'!$C:$C,$A16,'Clean Data'!$E:$E,E$10)</f>
        <v>6110</v>
      </c>
      <c r="F16" s="5">
        <f>SUM(B16:E16)</f>
        <v>19210</v>
      </c>
      <c r="H16" t="s">
        <v>121</v>
      </c>
      <c r="I16" s="5">
        <f>SUMIFS('Clean Data'!$I:$I,'Clean Data'!$D:$D,H16)</f>
        <v>13500</v>
      </c>
    </row>
    <row r="17" spans="8:9" x14ac:dyDescent="0.25">
      <c r="H17" t="s">
        <v>332</v>
      </c>
      <c r="I17" s="5">
        <f>SUMIFS('Clean Data'!$I:$I,'Clean Data'!$D:$D,H17)</f>
        <v>10440</v>
      </c>
    </row>
    <row r="18" spans="8:9" x14ac:dyDescent="0.25">
      <c r="H18" t="s">
        <v>187</v>
      </c>
      <c r="I18" s="5">
        <f>SUMIFS('Clean Data'!$I:$I,'Clean Data'!$D:$D,H18)</f>
        <v>19770</v>
      </c>
    </row>
    <row r="19" spans="8:9" x14ac:dyDescent="0.25">
      <c r="H19" t="s">
        <v>9</v>
      </c>
      <c r="I19" s="5">
        <f>SUMIFS('Clean Data'!$I:$I,'Clean Data'!$D:$D,H19)</f>
        <v>11300</v>
      </c>
    </row>
    <row r="20" spans="8:9" x14ac:dyDescent="0.25">
      <c r="H20" t="s">
        <v>113</v>
      </c>
      <c r="I20" s="5">
        <f>SUMIFS('Clean Data'!$I:$I,'Clean Data'!$D:$D,H20)</f>
        <v>20260</v>
      </c>
    </row>
    <row r="21" spans="8:9" x14ac:dyDescent="0.25">
      <c r="H21" t="s">
        <v>200</v>
      </c>
      <c r="I21" s="5">
        <f>SUMIFS('Clean Data'!$I:$I,'Clean Data'!$D:$D,H21)</f>
        <v>15220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A5008-1878-47E1-8921-AF568F9C2076}">
  <dimension ref="A1:I181"/>
  <sheetViews>
    <sheetView workbookViewId="0"/>
  </sheetViews>
  <sheetFormatPr defaultRowHeight="13.8" x14ac:dyDescent="0.25"/>
  <cols>
    <col min="1" max="1" width="10.19921875" bestFit="1" customWidth="1"/>
    <col min="2" max="2" width="12.3984375" bestFit="1" customWidth="1"/>
    <col min="4" max="4" width="14.3984375" bestFit="1" customWidth="1"/>
    <col min="5" max="5" width="9.09765625" bestFit="1" customWidth="1"/>
    <col min="6" max="6" width="15" bestFit="1" customWidth="1"/>
    <col min="7" max="7" width="7.3984375" bestFit="1" customWidth="1"/>
    <col min="8" max="8" width="11.3984375" bestFit="1" customWidth="1"/>
    <col min="9" max="9" width="10.796875" bestFit="1" customWidth="1"/>
  </cols>
  <sheetData>
    <row r="1" spans="1:9" x14ac:dyDescent="0.25">
      <c r="A1" s="7" t="s">
        <v>0</v>
      </c>
      <c r="B1" s="7" t="s">
        <v>1</v>
      </c>
      <c r="C1" s="7" t="s">
        <v>424</v>
      </c>
      <c r="D1" s="7" t="s">
        <v>2</v>
      </c>
      <c r="E1" s="7" t="s">
        <v>3</v>
      </c>
      <c r="F1" s="7" t="s">
        <v>4</v>
      </c>
      <c r="G1" s="7" t="s">
        <v>5</v>
      </c>
      <c r="H1" s="7" t="s">
        <v>6</v>
      </c>
      <c r="I1" s="7" t="s">
        <v>425</v>
      </c>
    </row>
    <row r="2" spans="1:9" x14ac:dyDescent="0.25">
      <c r="A2" t="s">
        <v>212</v>
      </c>
      <c r="B2" s="3">
        <v>46026</v>
      </c>
      <c r="C2" s="4">
        <f t="shared" ref="C2:C33" si="0">DATE(YEAR(B2),MONTH(B2),1)</f>
        <v>46023</v>
      </c>
      <c r="D2" t="s">
        <v>121</v>
      </c>
      <c r="E2" t="s">
        <v>122</v>
      </c>
      <c r="F2" t="s">
        <v>42</v>
      </c>
      <c r="G2">
        <v>5</v>
      </c>
      <c r="H2" s="5">
        <v>90</v>
      </c>
      <c r="I2" s="5">
        <f t="shared" ref="I2:I33" si="1">G2*H2</f>
        <v>450</v>
      </c>
    </row>
    <row r="3" spans="1:9" x14ac:dyDescent="0.25">
      <c r="A3" t="s">
        <v>116</v>
      </c>
      <c r="B3" s="3">
        <v>46027</v>
      </c>
      <c r="C3" s="4">
        <f t="shared" si="0"/>
        <v>46023</v>
      </c>
      <c r="D3" t="s">
        <v>121</v>
      </c>
      <c r="E3" t="s">
        <v>122</v>
      </c>
      <c r="F3" t="s">
        <v>23</v>
      </c>
      <c r="G3">
        <v>2</v>
      </c>
      <c r="H3" s="5">
        <v>450</v>
      </c>
      <c r="I3" s="5">
        <f t="shared" si="1"/>
        <v>900</v>
      </c>
    </row>
    <row r="4" spans="1:9" x14ac:dyDescent="0.25">
      <c r="A4" t="s">
        <v>294</v>
      </c>
      <c r="B4" s="3">
        <v>46028</v>
      </c>
      <c r="C4" s="4">
        <f t="shared" si="0"/>
        <v>46023</v>
      </c>
      <c r="D4" t="s">
        <v>187</v>
      </c>
      <c r="E4" t="s">
        <v>49</v>
      </c>
      <c r="F4" t="s">
        <v>23</v>
      </c>
      <c r="G4">
        <v>3</v>
      </c>
      <c r="H4" s="5">
        <v>450</v>
      </c>
      <c r="I4" s="5">
        <f t="shared" si="1"/>
        <v>1350</v>
      </c>
    </row>
    <row r="5" spans="1:9" x14ac:dyDescent="0.25">
      <c r="A5" t="s">
        <v>378</v>
      </c>
      <c r="B5" s="3">
        <v>46028</v>
      </c>
      <c r="C5" s="4">
        <f t="shared" si="0"/>
        <v>46023</v>
      </c>
      <c r="D5" t="s">
        <v>63</v>
      </c>
      <c r="E5" t="s">
        <v>49</v>
      </c>
      <c r="F5" t="s">
        <v>18</v>
      </c>
      <c r="G5">
        <v>3</v>
      </c>
      <c r="H5" s="5">
        <v>340</v>
      </c>
      <c r="I5" s="5">
        <f t="shared" si="1"/>
        <v>1020</v>
      </c>
    </row>
    <row r="6" spans="1:9" x14ac:dyDescent="0.25">
      <c r="A6" t="s">
        <v>345</v>
      </c>
      <c r="B6" s="3">
        <v>46029</v>
      </c>
      <c r="C6" s="4">
        <f t="shared" si="0"/>
        <v>46023</v>
      </c>
      <c r="D6" t="s">
        <v>63</v>
      </c>
      <c r="E6" t="s">
        <v>49</v>
      </c>
      <c r="F6" t="s">
        <v>18</v>
      </c>
      <c r="G6">
        <v>5</v>
      </c>
      <c r="H6" s="5">
        <v>340</v>
      </c>
      <c r="I6" s="5">
        <f t="shared" si="1"/>
        <v>1700</v>
      </c>
    </row>
    <row r="7" spans="1:9" x14ac:dyDescent="0.25">
      <c r="A7" t="s">
        <v>418</v>
      </c>
      <c r="B7" s="3">
        <v>46029</v>
      </c>
      <c r="C7" s="4">
        <f t="shared" si="0"/>
        <v>46023</v>
      </c>
      <c r="D7" t="s">
        <v>187</v>
      </c>
      <c r="E7" t="s">
        <v>49</v>
      </c>
      <c r="F7" t="s">
        <v>18</v>
      </c>
      <c r="G7">
        <v>3</v>
      </c>
      <c r="H7" s="5">
        <v>340</v>
      </c>
      <c r="I7" s="5">
        <f t="shared" si="1"/>
        <v>1020</v>
      </c>
    </row>
    <row r="8" spans="1:9" x14ac:dyDescent="0.25">
      <c r="A8" t="s">
        <v>39</v>
      </c>
      <c r="B8" s="3">
        <v>46030</v>
      </c>
      <c r="C8" s="4">
        <f t="shared" si="0"/>
        <v>46023</v>
      </c>
      <c r="D8" t="s">
        <v>113</v>
      </c>
      <c r="E8" t="s">
        <v>22</v>
      </c>
      <c r="F8" t="s">
        <v>42</v>
      </c>
      <c r="G8">
        <v>4</v>
      </c>
      <c r="H8" s="5">
        <v>90</v>
      </c>
      <c r="I8" s="5">
        <f t="shared" si="1"/>
        <v>360</v>
      </c>
    </row>
    <row r="9" spans="1:9" x14ac:dyDescent="0.25">
      <c r="A9" t="s">
        <v>129</v>
      </c>
      <c r="B9" s="3">
        <v>46030</v>
      </c>
      <c r="C9" s="4">
        <f t="shared" si="0"/>
        <v>46023</v>
      </c>
      <c r="D9" t="s">
        <v>113</v>
      </c>
      <c r="E9" t="s">
        <v>22</v>
      </c>
      <c r="F9" t="s">
        <v>11</v>
      </c>
      <c r="G9">
        <v>5</v>
      </c>
      <c r="H9" s="5">
        <v>120</v>
      </c>
      <c r="I9" s="5">
        <f t="shared" si="1"/>
        <v>600</v>
      </c>
    </row>
    <row r="10" spans="1:9" x14ac:dyDescent="0.25">
      <c r="A10" t="s">
        <v>168</v>
      </c>
      <c r="B10" s="3">
        <v>46030</v>
      </c>
      <c r="C10" s="4">
        <f t="shared" si="0"/>
        <v>46023</v>
      </c>
      <c r="D10" t="s">
        <v>121</v>
      </c>
      <c r="E10" t="s">
        <v>122</v>
      </c>
      <c r="F10" t="s">
        <v>42</v>
      </c>
      <c r="G10">
        <v>4</v>
      </c>
      <c r="H10" s="5">
        <v>90</v>
      </c>
      <c r="I10" s="5">
        <f t="shared" si="1"/>
        <v>360</v>
      </c>
    </row>
    <row r="11" spans="1:9" x14ac:dyDescent="0.25">
      <c r="A11" t="s">
        <v>246</v>
      </c>
      <c r="B11" s="3">
        <v>46030</v>
      </c>
      <c r="C11" s="4">
        <f t="shared" si="0"/>
        <v>46023</v>
      </c>
      <c r="D11" t="s">
        <v>187</v>
      </c>
      <c r="E11" t="s">
        <v>49</v>
      </c>
      <c r="F11" t="s">
        <v>23</v>
      </c>
      <c r="G11">
        <v>3</v>
      </c>
      <c r="H11" s="5">
        <v>450</v>
      </c>
      <c r="I11" s="5">
        <f t="shared" si="1"/>
        <v>1350</v>
      </c>
    </row>
    <row r="12" spans="1:9" x14ac:dyDescent="0.25">
      <c r="A12" t="s">
        <v>349</v>
      </c>
      <c r="B12" s="3">
        <v>46030</v>
      </c>
      <c r="C12" s="4">
        <f t="shared" si="0"/>
        <v>46023</v>
      </c>
      <c r="D12" t="s">
        <v>113</v>
      </c>
      <c r="E12" t="s">
        <v>22</v>
      </c>
      <c r="F12" t="s">
        <v>23</v>
      </c>
      <c r="G12">
        <v>3</v>
      </c>
      <c r="H12" s="5">
        <v>450</v>
      </c>
      <c r="I12" s="5">
        <f t="shared" si="1"/>
        <v>1350</v>
      </c>
    </row>
    <row r="13" spans="1:9" x14ac:dyDescent="0.25">
      <c r="A13" t="s">
        <v>271</v>
      </c>
      <c r="B13" s="3">
        <v>46032</v>
      </c>
      <c r="C13" s="4">
        <f t="shared" si="0"/>
        <v>46023</v>
      </c>
      <c r="D13" t="s">
        <v>121</v>
      </c>
      <c r="E13" t="s">
        <v>122</v>
      </c>
      <c r="F13" t="s">
        <v>42</v>
      </c>
      <c r="G13">
        <v>1</v>
      </c>
      <c r="H13" s="5">
        <v>90</v>
      </c>
      <c r="I13" s="5">
        <f t="shared" si="1"/>
        <v>90</v>
      </c>
    </row>
    <row r="14" spans="1:9" x14ac:dyDescent="0.25">
      <c r="A14" t="s">
        <v>192</v>
      </c>
      <c r="B14" s="3">
        <v>46033</v>
      </c>
      <c r="C14" s="4">
        <f t="shared" si="0"/>
        <v>46023</v>
      </c>
      <c r="D14" t="s">
        <v>200</v>
      </c>
      <c r="E14" t="s">
        <v>97</v>
      </c>
      <c r="F14" t="s">
        <v>11</v>
      </c>
      <c r="G14">
        <v>2</v>
      </c>
      <c r="H14" s="5">
        <v>120</v>
      </c>
      <c r="I14" s="5">
        <f t="shared" si="1"/>
        <v>240</v>
      </c>
    </row>
    <row r="15" spans="1:9" x14ac:dyDescent="0.25">
      <c r="A15" t="s">
        <v>260</v>
      </c>
      <c r="B15" s="3">
        <v>46034</v>
      </c>
      <c r="C15" s="4">
        <f t="shared" si="0"/>
        <v>46023</v>
      </c>
      <c r="D15" t="s">
        <v>187</v>
      </c>
      <c r="E15" t="s">
        <v>49</v>
      </c>
      <c r="F15" t="s">
        <v>18</v>
      </c>
      <c r="G15">
        <v>1</v>
      </c>
      <c r="H15" s="5">
        <v>340</v>
      </c>
      <c r="I15" s="5">
        <f t="shared" si="1"/>
        <v>340</v>
      </c>
    </row>
    <row r="16" spans="1:9" x14ac:dyDescent="0.25">
      <c r="A16" t="s">
        <v>79</v>
      </c>
      <c r="B16" s="3">
        <v>46035</v>
      </c>
      <c r="C16" s="4">
        <f t="shared" si="0"/>
        <v>46023</v>
      </c>
      <c r="D16" t="s">
        <v>63</v>
      </c>
      <c r="E16" t="s">
        <v>49</v>
      </c>
      <c r="F16" t="s">
        <v>42</v>
      </c>
      <c r="G16">
        <v>3</v>
      </c>
      <c r="H16" s="5">
        <v>90</v>
      </c>
      <c r="I16" s="5">
        <f t="shared" si="1"/>
        <v>270</v>
      </c>
    </row>
    <row r="17" spans="1:9" x14ac:dyDescent="0.25">
      <c r="A17" t="s">
        <v>350</v>
      </c>
      <c r="B17" s="3">
        <v>46036</v>
      </c>
      <c r="C17" s="4">
        <f t="shared" si="0"/>
        <v>46023</v>
      </c>
      <c r="D17" t="s">
        <v>200</v>
      </c>
      <c r="E17" t="s">
        <v>97</v>
      </c>
      <c r="F17" t="s">
        <v>23</v>
      </c>
      <c r="G17">
        <v>1</v>
      </c>
      <c r="H17" s="5">
        <v>450</v>
      </c>
      <c r="I17" s="5">
        <f t="shared" si="1"/>
        <v>450</v>
      </c>
    </row>
    <row r="18" spans="1:9" x14ac:dyDescent="0.25">
      <c r="A18" t="s">
        <v>175</v>
      </c>
      <c r="B18" s="3">
        <v>46037</v>
      </c>
      <c r="C18" s="4">
        <f t="shared" si="0"/>
        <v>46023</v>
      </c>
      <c r="D18" t="s">
        <v>113</v>
      </c>
      <c r="E18" t="s">
        <v>22</v>
      </c>
      <c r="F18" t="s">
        <v>42</v>
      </c>
      <c r="G18">
        <v>3</v>
      </c>
      <c r="H18" s="5">
        <v>90</v>
      </c>
      <c r="I18" s="5">
        <f t="shared" si="1"/>
        <v>270</v>
      </c>
    </row>
    <row r="19" spans="1:9" x14ac:dyDescent="0.25">
      <c r="A19" t="s">
        <v>34</v>
      </c>
      <c r="B19" s="3">
        <v>46039</v>
      </c>
      <c r="C19" s="4">
        <f t="shared" si="0"/>
        <v>46023</v>
      </c>
      <c r="D19" t="s">
        <v>332</v>
      </c>
      <c r="E19" t="s">
        <v>97</v>
      </c>
      <c r="F19" t="s">
        <v>11</v>
      </c>
      <c r="G19">
        <v>4</v>
      </c>
      <c r="H19" s="5">
        <v>120</v>
      </c>
      <c r="I19" s="5">
        <f t="shared" si="1"/>
        <v>480</v>
      </c>
    </row>
    <row r="20" spans="1:9" x14ac:dyDescent="0.25">
      <c r="A20" t="s">
        <v>103</v>
      </c>
      <c r="B20" s="3">
        <v>46041</v>
      </c>
      <c r="C20" s="4">
        <f t="shared" si="0"/>
        <v>46023</v>
      </c>
      <c r="D20" t="s">
        <v>9</v>
      </c>
      <c r="E20" t="s">
        <v>122</v>
      </c>
      <c r="F20" t="s">
        <v>11</v>
      </c>
      <c r="G20">
        <v>3</v>
      </c>
      <c r="H20" s="5">
        <v>120</v>
      </c>
      <c r="I20" s="5">
        <f t="shared" si="1"/>
        <v>360</v>
      </c>
    </row>
    <row r="21" spans="1:9" x14ac:dyDescent="0.25">
      <c r="A21" t="s">
        <v>406</v>
      </c>
      <c r="B21" s="3">
        <v>46041</v>
      </c>
      <c r="C21" s="4">
        <f t="shared" si="0"/>
        <v>46023</v>
      </c>
      <c r="D21" t="s">
        <v>332</v>
      </c>
      <c r="E21" t="s">
        <v>97</v>
      </c>
      <c r="F21" t="s">
        <v>11</v>
      </c>
      <c r="G21">
        <v>5</v>
      </c>
      <c r="H21" s="5">
        <v>120</v>
      </c>
      <c r="I21" s="5">
        <f t="shared" si="1"/>
        <v>600</v>
      </c>
    </row>
    <row r="22" spans="1:9" x14ac:dyDescent="0.25">
      <c r="A22" t="s">
        <v>185</v>
      </c>
      <c r="B22" s="3">
        <v>46043</v>
      </c>
      <c r="C22" s="4">
        <f t="shared" si="0"/>
        <v>46023</v>
      </c>
      <c r="D22" t="s">
        <v>187</v>
      </c>
      <c r="E22" t="s">
        <v>49</v>
      </c>
      <c r="F22" t="s">
        <v>42</v>
      </c>
      <c r="G22">
        <v>5</v>
      </c>
      <c r="H22" s="5">
        <v>90</v>
      </c>
      <c r="I22" s="5">
        <f t="shared" si="1"/>
        <v>450</v>
      </c>
    </row>
    <row r="23" spans="1:9" x14ac:dyDescent="0.25">
      <c r="A23" t="s">
        <v>316</v>
      </c>
      <c r="B23" s="3">
        <v>46043</v>
      </c>
      <c r="C23" s="4">
        <f t="shared" si="0"/>
        <v>46023</v>
      </c>
      <c r="D23" t="s">
        <v>121</v>
      </c>
      <c r="E23" t="s">
        <v>122</v>
      </c>
      <c r="F23" t="s">
        <v>11</v>
      </c>
      <c r="G23">
        <v>1</v>
      </c>
      <c r="H23" s="5">
        <v>120</v>
      </c>
      <c r="I23" s="5">
        <f t="shared" si="1"/>
        <v>120</v>
      </c>
    </row>
    <row r="24" spans="1:9" x14ac:dyDescent="0.25">
      <c r="A24" t="s">
        <v>330</v>
      </c>
      <c r="B24" s="3">
        <v>46043</v>
      </c>
      <c r="C24" s="4">
        <f t="shared" si="0"/>
        <v>46023</v>
      </c>
      <c r="D24" t="s">
        <v>332</v>
      </c>
      <c r="E24" t="s">
        <v>97</v>
      </c>
      <c r="F24" t="s">
        <v>23</v>
      </c>
      <c r="G24">
        <v>3</v>
      </c>
      <c r="H24" s="5">
        <v>450</v>
      </c>
      <c r="I24" s="5">
        <f t="shared" si="1"/>
        <v>1350</v>
      </c>
    </row>
    <row r="25" spans="1:9" x14ac:dyDescent="0.25">
      <c r="A25" t="s">
        <v>416</v>
      </c>
      <c r="B25" s="3">
        <v>46044</v>
      </c>
      <c r="C25" s="4">
        <f t="shared" si="0"/>
        <v>46023</v>
      </c>
      <c r="D25" t="s">
        <v>63</v>
      </c>
      <c r="E25" t="s">
        <v>49</v>
      </c>
      <c r="F25" t="s">
        <v>23</v>
      </c>
      <c r="G25">
        <v>4</v>
      </c>
      <c r="H25" s="5">
        <v>450</v>
      </c>
      <c r="I25" s="5">
        <f t="shared" si="1"/>
        <v>1800</v>
      </c>
    </row>
    <row r="26" spans="1:9" x14ac:dyDescent="0.25">
      <c r="A26" t="s">
        <v>7</v>
      </c>
      <c r="B26" s="3">
        <v>46045</v>
      </c>
      <c r="C26" s="4">
        <f t="shared" si="0"/>
        <v>46023</v>
      </c>
      <c r="D26" t="s">
        <v>9</v>
      </c>
      <c r="E26" t="s">
        <v>122</v>
      </c>
      <c r="F26" t="s">
        <v>11</v>
      </c>
      <c r="G26">
        <v>3</v>
      </c>
      <c r="H26" s="5">
        <v>120</v>
      </c>
      <c r="I26" s="5">
        <f t="shared" si="1"/>
        <v>360</v>
      </c>
    </row>
    <row r="27" spans="1:9" x14ac:dyDescent="0.25">
      <c r="A27" t="s">
        <v>352</v>
      </c>
      <c r="B27" s="3">
        <v>46045</v>
      </c>
      <c r="C27" s="4">
        <f t="shared" si="0"/>
        <v>46023</v>
      </c>
      <c r="D27" t="s">
        <v>200</v>
      </c>
      <c r="E27" t="s">
        <v>97</v>
      </c>
      <c r="F27" t="s">
        <v>18</v>
      </c>
      <c r="G27">
        <v>2</v>
      </c>
      <c r="H27" s="5">
        <v>340</v>
      </c>
      <c r="I27" s="5">
        <f t="shared" si="1"/>
        <v>680</v>
      </c>
    </row>
    <row r="28" spans="1:9" x14ac:dyDescent="0.25">
      <c r="A28" t="s">
        <v>154</v>
      </c>
      <c r="B28" s="3">
        <v>46046</v>
      </c>
      <c r="C28" s="4">
        <f t="shared" si="0"/>
        <v>46023</v>
      </c>
      <c r="D28" t="s">
        <v>200</v>
      </c>
      <c r="E28" t="s">
        <v>97</v>
      </c>
      <c r="F28" t="s">
        <v>23</v>
      </c>
      <c r="G28">
        <v>1</v>
      </c>
      <c r="H28" s="5">
        <v>450</v>
      </c>
      <c r="I28" s="5">
        <f t="shared" si="1"/>
        <v>450</v>
      </c>
    </row>
    <row r="29" spans="1:9" x14ac:dyDescent="0.25">
      <c r="A29" t="s">
        <v>269</v>
      </c>
      <c r="B29" s="3">
        <v>46046</v>
      </c>
      <c r="C29" s="4">
        <f t="shared" si="0"/>
        <v>46023</v>
      </c>
      <c r="D29" t="s">
        <v>332</v>
      </c>
      <c r="E29" t="s">
        <v>97</v>
      </c>
      <c r="F29" t="s">
        <v>42</v>
      </c>
      <c r="G29">
        <v>4</v>
      </c>
      <c r="H29" s="5">
        <v>90</v>
      </c>
      <c r="I29" s="5">
        <f t="shared" si="1"/>
        <v>360</v>
      </c>
    </row>
    <row r="30" spans="1:9" x14ac:dyDescent="0.25">
      <c r="A30" t="s">
        <v>292</v>
      </c>
      <c r="B30" s="3">
        <v>46046</v>
      </c>
      <c r="C30" s="4">
        <f t="shared" si="0"/>
        <v>46023</v>
      </c>
      <c r="D30" t="s">
        <v>63</v>
      </c>
      <c r="E30" t="s">
        <v>49</v>
      </c>
      <c r="F30" t="s">
        <v>23</v>
      </c>
      <c r="G30">
        <v>5</v>
      </c>
      <c r="H30" s="5">
        <v>450</v>
      </c>
      <c r="I30" s="5">
        <f t="shared" si="1"/>
        <v>2250</v>
      </c>
    </row>
    <row r="31" spans="1:9" x14ac:dyDescent="0.25">
      <c r="A31" t="s">
        <v>298</v>
      </c>
      <c r="B31" s="3">
        <v>46046</v>
      </c>
      <c r="C31" s="4">
        <f t="shared" si="0"/>
        <v>46023</v>
      </c>
      <c r="D31" t="s">
        <v>9</v>
      </c>
      <c r="E31" t="s">
        <v>122</v>
      </c>
      <c r="F31" t="s">
        <v>18</v>
      </c>
      <c r="G31">
        <v>1</v>
      </c>
      <c r="H31" s="5">
        <v>340</v>
      </c>
      <c r="I31" s="5">
        <f t="shared" si="1"/>
        <v>340</v>
      </c>
    </row>
    <row r="32" spans="1:9" x14ac:dyDescent="0.25">
      <c r="A32" t="s">
        <v>223</v>
      </c>
      <c r="B32" s="3">
        <v>46047</v>
      </c>
      <c r="C32" s="4">
        <f t="shared" si="0"/>
        <v>46023</v>
      </c>
      <c r="D32" t="s">
        <v>9</v>
      </c>
      <c r="E32" t="s">
        <v>122</v>
      </c>
      <c r="F32" t="s">
        <v>11</v>
      </c>
      <c r="G32">
        <v>5</v>
      </c>
      <c r="H32" s="5">
        <v>120</v>
      </c>
      <c r="I32" s="5">
        <f t="shared" si="1"/>
        <v>600</v>
      </c>
    </row>
    <row r="33" spans="1:9" x14ac:dyDescent="0.25">
      <c r="A33" t="s">
        <v>264</v>
      </c>
      <c r="B33" s="3">
        <v>46047</v>
      </c>
      <c r="C33" s="4">
        <f t="shared" si="0"/>
        <v>46023</v>
      </c>
      <c r="D33" t="s">
        <v>141</v>
      </c>
      <c r="E33" t="s">
        <v>22</v>
      </c>
      <c r="F33" t="s">
        <v>18</v>
      </c>
      <c r="G33">
        <v>2</v>
      </c>
      <c r="H33" s="5">
        <v>340</v>
      </c>
      <c r="I33" s="5">
        <f t="shared" si="1"/>
        <v>680</v>
      </c>
    </row>
    <row r="34" spans="1:9" x14ac:dyDescent="0.25">
      <c r="A34" t="s">
        <v>57</v>
      </c>
      <c r="B34" s="3">
        <v>46049</v>
      </c>
      <c r="C34" s="4">
        <f t="shared" ref="C34:C65" si="2">DATE(YEAR(B34),MONTH(B34),1)</f>
        <v>46023</v>
      </c>
      <c r="D34" t="s">
        <v>9</v>
      </c>
      <c r="E34" t="s">
        <v>122</v>
      </c>
      <c r="F34" t="s">
        <v>18</v>
      </c>
      <c r="G34">
        <v>1</v>
      </c>
      <c r="H34" s="5">
        <v>340</v>
      </c>
      <c r="I34" s="5">
        <f t="shared" ref="I34:I65" si="3">G34*H34</f>
        <v>340</v>
      </c>
    </row>
    <row r="35" spans="1:9" x14ac:dyDescent="0.25">
      <c r="A35" t="s">
        <v>105</v>
      </c>
      <c r="B35" s="3">
        <v>46049</v>
      </c>
      <c r="C35" s="4">
        <f t="shared" si="2"/>
        <v>46023</v>
      </c>
      <c r="D35" t="s">
        <v>121</v>
      </c>
      <c r="E35" t="s">
        <v>122</v>
      </c>
      <c r="F35" t="s">
        <v>23</v>
      </c>
      <c r="G35">
        <v>1</v>
      </c>
      <c r="H35" s="5">
        <v>450</v>
      </c>
      <c r="I35" s="5">
        <f t="shared" si="3"/>
        <v>450</v>
      </c>
    </row>
    <row r="36" spans="1:9" x14ac:dyDescent="0.25">
      <c r="A36" t="s">
        <v>300</v>
      </c>
      <c r="B36" s="3">
        <v>46050</v>
      </c>
      <c r="C36" s="4">
        <f t="shared" si="2"/>
        <v>46023</v>
      </c>
      <c r="D36" t="s">
        <v>9</v>
      </c>
      <c r="E36" t="s">
        <v>122</v>
      </c>
      <c r="F36" t="s">
        <v>11</v>
      </c>
      <c r="G36">
        <v>3</v>
      </c>
      <c r="H36" s="5">
        <v>120</v>
      </c>
      <c r="I36" s="5">
        <f t="shared" si="3"/>
        <v>360</v>
      </c>
    </row>
    <row r="37" spans="1:9" x14ac:dyDescent="0.25">
      <c r="A37" t="s">
        <v>337</v>
      </c>
      <c r="B37" s="3">
        <v>46050</v>
      </c>
      <c r="C37" s="4">
        <f t="shared" si="2"/>
        <v>46023</v>
      </c>
      <c r="D37" t="s">
        <v>332</v>
      </c>
      <c r="E37" t="s">
        <v>97</v>
      </c>
      <c r="F37" t="s">
        <v>23</v>
      </c>
      <c r="G37">
        <v>4</v>
      </c>
      <c r="H37" s="5">
        <v>450</v>
      </c>
      <c r="I37" s="5">
        <f t="shared" si="3"/>
        <v>1800</v>
      </c>
    </row>
    <row r="38" spans="1:9" x14ac:dyDescent="0.25">
      <c r="A38" t="s">
        <v>227</v>
      </c>
      <c r="B38" s="3">
        <v>46051</v>
      </c>
      <c r="C38" s="4">
        <f t="shared" si="2"/>
        <v>46023</v>
      </c>
      <c r="D38" t="s">
        <v>187</v>
      </c>
      <c r="E38" t="s">
        <v>49</v>
      </c>
      <c r="F38" t="s">
        <v>18</v>
      </c>
      <c r="G38">
        <v>1</v>
      </c>
      <c r="H38" s="5">
        <v>340</v>
      </c>
      <c r="I38" s="5">
        <f t="shared" si="3"/>
        <v>340</v>
      </c>
    </row>
    <row r="39" spans="1:9" x14ac:dyDescent="0.25">
      <c r="A39" t="s">
        <v>370</v>
      </c>
      <c r="B39" s="3">
        <v>46052</v>
      </c>
      <c r="C39" s="4">
        <f t="shared" si="2"/>
        <v>46023</v>
      </c>
      <c r="D39" t="s">
        <v>9</v>
      </c>
      <c r="E39" t="s">
        <v>122</v>
      </c>
      <c r="F39" t="s">
        <v>18</v>
      </c>
      <c r="G39">
        <v>1</v>
      </c>
      <c r="H39" s="5">
        <v>340</v>
      </c>
      <c r="I39" s="5">
        <f t="shared" si="3"/>
        <v>340</v>
      </c>
    </row>
    <row r="40" spans="1:9" x14ac:dyDescent="0.25">
      <c r="A40" t="s">
        <v>341</v>
      </c>
      <c r="B40" s="3">
        <v>46054</v>
      </c>
      <c r="C40" s="4">
        <f t="shared" si="2"/>
        <v>46054</v>
      </c>
      <c r="D40" t="s">
        <v>9</v>
      </c>
      <c r="E40" t="s">
        <v>122</v>
      </c>
      <c r="F40" t="s">
        <v>18</v>
      </c>
      <c r="G40">
        <v>3</v>
      </c>
      <c r="H40" s="5">
        <v>340</v>
      </c>
      <c r="I40" s="5">
        <f t="shared" si="3"/>
        <v>1020</v>
      </c>
    </row>
    <row r="41" spans="1:9" x14ac:dyDescent="0.25">
      <c r="A41" t="s">
        <v>343</v>
      </c>
      <c r="B41" s="3">
        <v>46054</v>
      </c>
      <c r="C41" s="4">
        <f t="shared" si="2"/>
        <v>46054</v>
      </c>
      <c r="D41" t="s">
        <v>63</v>
      </c>
      <c r="E41" t="s">
        <v>49</v>
      </c>
      <c r="F41" t="s">
        <v>11</v>
      </c>
      <c r="G41">
        <v>2</v>
      </c>
      <c r="H41" s="5">
        <v>120</v>
      </c>
      <c r="I41" s="5">
        <f t="shared" si="3"/>
        <v>240</v>
      </c>
    </row>
    <row r="42" spans="1:9" x14ac:dyDescent="0.25">
      <c r="A42" t="s">
        <v>374</v>
      </c>
      <c r="B42" s="3">
        <v>46055</v>
      </c>
      <c r="C42" s="4">
        <f t="shared" si="2"/>
        <v>46054</v>
      </c>
      <c r="D42" t="s">
        <v>121</v>
      </c>
      <c r="E42" t="s">
        <v>122</v>
      </c>
      <c r="F42" t="s">
        <v>11</v>
      </c>
      <c r="G42">
        <v>4</v>
      </c>
      <c r="H42" s="5">
        <v>120</v>
      </c>
      <c r="I42" s="5">
        <f t="shared" si="3"/>
        <v>480</v>
      </c>
    </row>
    <row r="43" spans="1:9" x14ac:dyDescent="0.25">
      <c r="A43" t="s">
        <v>139</v>
      </c>
      <c r="B43" s="3">
        <v>46056</v>
      </c>
      <c r="C43" s="4">
        <f t="shared" si="2"/>
        <v>46054</v>
      </c>
      <c r="D43" t="s">
        <v>141</v>
      </c>
      <c r="E43" t="s">
        <v>22</v>
      </c>
      <c r="F43" t="s">
        <v>18</v>
      </c>
      <c r="G43">
        <v>1</v>
      </c>
      <c r="H43" s="5">
        <v>340</v>
      </c>
      <c r="I43" s="5">
        <f t="shared" si="3"/>
        <v>340</v>
      </c>
    </row>
    <row r="44" spans="1:9" x14ac:dyDescent="0.25">
      <c r="A44" t="s">
        <v>145</v>
      </c>
      <c r="B44" s="3">
        <v>46056</v>
      </c>
      <c r="C44" s="4">
        <f t="shared" si="2"/>
        <v>46054</v>
      </c>
      <c r="D44" t="s">
        <v>141</v>
      </c>
      <c r="E44" t="s">
        <v>22</v>
      </c>
      <c r="F44" t="s">
        <v>23</v>
      </c>
      <c r="G44">
        <v>2</v>
      </c>
      <c r="H44" s="5">
        <v>450</v>
      </c>
      <c r="I44" s="5">
        <f t="shared" si="3"/>
        <v>900</v>
      </c>
    </row>
    <row r="45" spans="1:9" x14ac:dyDescent="0.25">
      <c r="A45" t="s">
        <v>204</v>
      </c>
      <c r="B45" s="3">
        <v>46056</v>
      </c>
      <c r="C45" s="4">
        <f t="shared" si="2"/>
        <v>46054</v>
      </c>
      <c r="D45" t="s">
        <v>113</v>
      </c>
      <c r="E45" t="s">
        <v>22</v>
      </c>
      <c r="F45" t="s">
        <v>18</v>
      </c>
      <c r="G45">
        <v>5</v>
      </c>
      <c r="H45" s="5">
        <v>340</v>
      </c>
      <c r="I45" s="5">
        <f t="shared" si="3"/>
        <v>1700</v>
      </c>
    </row>
    <row r="46" spans="1:9" x14ac:dyDescent="0.25">
      <c r="A46" t="s">
        <v>390</v>
      </c>
      <c r="B46" s="3">
        <v>46058</v>
      </c>
      <c r="C46" s="4">
        <f t="shared" si="2"/>
        <v>46054</v>
      </c>
      <c r="D46" t="s">
        <v>9</v>
      </c>
      <c r="E46" t="s">
        <v>122</v>
      </c>
      <c r="F46" t="s">
        <v>42</v>
      </c>
      <c r="G46">
        <v>4</v>
      </c>
      <c r="H46" s="5">
        <v>90</v>
      </c>
      <c r="I46" s="5">
        <f t="shared" si="3"/>
        <v>360</v>
      </c>
    </row>
    <row r="47" spans="1:9" x14ac:dyDescent="0.25">
      <c r="A47" t="s">
        <v>256</v>
      </c>
      <c r="B47" s="3">
        <v>46060</v>
      </c>
      <c r="C47" s="4">
        <f t="shared" si="2"/>
        <v>46054</v>
      </c>
      <c r="D47" t="s">
        <v>200</v>
      </c>
      <c r="E47" t="s">
        <v>97</v>
      </c>
      <c r="F47" t="s">
        <v>42</v>
      </c>
      <c r="G47">
        <v>5</v>
      </c>
      <c r="H47" s="5">
        <v>90</v>
      </c>
      <c r="I47" s="5">
        <f t="shared" si="3"/>
        <v>450</v>
      </c>
    </row>
    <row r="48" spans="1:9" x14ac:dyDescent="0.25">
      <c r="A48" t="s">
        <v>372</v>
      </c>
      <c r="B48" s="3">
        <v>46060</v>
      </c>
      <c r="C48" s="4">
        <f t="shared" si="2"/>
        <v>46054</v>
      </c>
      <c r="D48" t="s">
        <v>200</v>
      </c>
      <c r="E48" t="s">
        <v>97</v>
      </c>
      <c r="F48" t="s">
        <v>18</v>
      </c>
      <c r="G48">
        <v>3</v>
      </c>
      <c r="H48" s="5">
        <v>340</v>
      </c>
      <c r="I48" s="5">
        <f t="shared" si="3"/>
        <v>1020</v>
      </c>
    </row>
    <row r="49" spans="1:9" x14ac:dyDescent="0.25">
      <c r="A49" t="s">
        <v>389</v>
      </c>
      <c r="B49" s="3">
        <v>46060</v>
      </c>
      <c r="C49" s="4">
        <f t="shared" si="2"/>
        <v>46054</v>
      </c>
      <c r="D49" t="s">
        <v>113</v>
      </c>
      <c r="E49" t="s">
        <v>22</v>
      </c>
      <c r="F49" t="s">
        <v>42</v>
      </c>
      <c r="G49">
        <v>3</v>
      </c>
      <c r="H49" s="5">
        <v>90</v>
      </c>
      <c r="I49" s="5">
        <f t="shared" si="3"/>
        <v>270</v>
      </c>
    </row>
    <row r="50" spans="1:9" x14ac:dyDescent="0.25">
      <c r="A50" t="s">
        <v>183</v>
      </c>
      <c r="B50" s="3">
        <v>46061</v>
      </c>
      <c r="C50" s="4">
        <f t="shared" si="2"/>
        <v>46054</v>
      </c>
      <c r="D50" t="s">
        <v>141</v>
      </c>
      <c r="E50" t="s">
        <v>22</v>
      </c>
      <c r="F50" t="s">
        <v>42</v>
      </c>
      <c r="G50">
        <v>4</v>
      </c>
      <c r="H50" s="5">
        <v>90</v>
      </c>
      <c r="I50" s="5">
        <f t="shared" si="3"/>
        <v>360</v>
      </c>
    </row>
    <row r="51" spans="1:9" x14ac:dyDescent="0.25">
      <c r="A51" t="s">
        <v>369</v>
      </c>
      <c r="B51" s="3">
        <v>46061</v>
      </c>
      <c r="C51" s="4">
        <f t="shared" si="2"/>
        <v>46054</v>
      </c>
      <c r="D51" t="s">
        <v>141</v>
      </c>
      <c r="E51" t="s">
        <v>22</v>
      </c>
      <c r="F51" t="s">
        <v>23</v>
      </c>
      <c r="G51">
        <v>3</v>
      </c>
      <c r="H51" s="5">
        <v>450</v>
      </c>
      <c r="I51" s="5">
        <f t="shared" si="3"/>
        <v>1350</v>
      </c>
    </row>
    <row r="52" spans="1:9" x14ac:dyDescent="0.25">
      <c r="A52" t="s">
        <v>119</v>
      </c>
      <c r="B52" s="3">
        <v>46062</v>
      </c>
      <c r="C52" s="4">
        <f t="shared" si="2"/>
        <v>46054</v>
      </c>
      <c r="D52" t="s">
        <v>121</v>
      </c>
      <c r="E52" t="s">
        <v>122</v>
      </c>
      <c r="F52" t="s">
        <v>11</v>
      </c>
      <c r="G52">
        <v>3</v>
      </c>
      <c r="H52" s="5">
        <v>120</v>
      </c>
      <c r="I52" s="5">
        <f t="shared" si="3"/>
        <v>360</v>
      </c>
    </row>
    <row r="53" spans="1:9" x14ac:dyDescent="0.25">
      <c r="A53" t="s">
        <v>240</v>
      </c>
      <c r="B53" s="3">
        <v>46063</v>
      </c>
      <c r="C53" s="4">
        <f t="shared" si="2"/>
        <v>46054</v>
      </c>
      <c r="D53" t="s">
        <v>200</v>
      </c>
      <c r="E53" t="s">
        <v>97</v>
      </c>
      <c r="F53" t="s">
        <v>42</v>
      </c>
      <c r="G53">
        <v>2</v>
      </c>
      <c r="H53" s="5">
        <v>90</v>
      </c>
      <c r="I53" s="5">
        <f t="shared" si="3"/>
        <v>180</v>
      </c>
    </row>
    <row r="54" spans="1:9" x14ac:dyDescent="0.25">
      <c r="A54" t="s">
        <v>20</v>
      </c>
      <c r="B54" s="3">
        <v>46065</v>
      </c>
      <c r="C54" s="4">
        <f t="shared" si="2"/>
        <v>46054</v>
      </c>
      <c r="D54" t="s">
        <v>141</v>
      </c>
      <c r="E54" t="s">
        <v>22</v>
      </c>
      <c r="F54" t="s">
        <v>23</v>
      </c>
      <c r="G54">
        <v>2</v>
      </c>
      <c r="H54" s="5">
        <v>450</v>
      </c>
      <c r="I54" s="5">
        <f t="shared" si="3"/>
        <v>900</v>
      </c>
    </row>
    <row r="55" spans="1:9" x14ac:dyDescent="0.25">
      <c r="A55" t="s">
        <v>365</v>
      </c>
      <c r="B55" s="3">
        <v>46065</v>
      </c>
      <c r="C55" s="4">
        <f t="shared" si="2"/>
        <v>46054</v>
      </c>
      <c r="D55" t="s">
        <v>63</v>
      </c>
      <c r="E55" t="s">
        <v>49</v>
      </c>
      <c r="F55" t="s">
        <v>11</v>
      </c>
      <c r="G55">
        <v>5</v>
      </c>
      <c r="H55" s="5">
        <v>120</v>
      </c>
      <c r="I55" s="5">
        <f t="shared" si="3"/>
        <v>600</v>
      </c>
    </row>
    <row r="56" spans="1:9" x14ac:dyDescent="0.25">
      <c r="A56" t="s">
        <v>410</v>
      </c>
      <c r="B56" s="3">
        <v>46066</v>
      </c>
      <c r="C56" s="4">
        <f t="shared" si="2"/>
        <v>46054</v>
      </c>
      <c r="D56" t="s">
        <v>9</v>
      </c>
      <c r="E56" t="s">
        <v>122</v>
      </c>
      <c r="F56" t="s">
        <v>23</v>
      </c>
      <c r="G56">
        <v>3</v>
      </c>
      <c r="H56" s="5">
        <v>450</v>
      </c>
      <c r="I56" s="5">
        <f t="shared" si="3"/>
        <v>1350</v>
      </c>
    </row>
    <row r="57" spans="1:9" x14ac:dyDescent="0.25">
      <c r="A57" t="s">
        <v>169</v>
      </c>
      <c r="B57" s="3">
        <v>46067</v>
      </c>
      <c r="C57" s="4">
        <f t="shared" si="2"/>
        <v>46054</v>
      </c>
      <c r="D57" t="s">
        <v>187</v>
      </c>
      <c r="E57" t="s">
        <v>49</v>
      </c>
      <c r="F57" t="s">
        <v>23</v>
      </c>
      <c r="G57">
        <v>5</v>
      </c>
      <c r="H57" s="5">
        <v>450</v>
      </c>
      <c r="I57" s="5">
        <f t="shared" si="3"/>
        <v>2250</v>
      </c>
    </row>
    <row r="58" spans="1:9" x14ac:dyDescent="0.25">
      <c r="A58" t="s">
        <v>420</v>
      </c>
      <c r="B58" s="3">
        <v>46067</v>
      </c>
      <c r="C58" s="4">
        <f t="shared" si="2"/>
        <v>46054</v>
      </c>
      <c r="D58" t="s">
        <v>63</v>
      </c>
      <c r="E58" t="s">
        <v>49</v>
      </c>
      <c r="F58" t="s">
        <v>42</v>
      </c>
      <c r="G58">
        <v>1</v>
      </c>
      <c r="H58" s="5">
        <v>90</v>
      </c>
      <c r="I58" s="5">
        <f t="shared" si="3"/>
        <v>90</v>
      </c>
    </row>
    <row r="59" spans="1:9" x14ac:dyDescent="0.25">
      <c r="A59" t="s">
        <v>312</v>
      </c>
      <c r="B59" s="3">
        <v>46068</v>
      </c>
      <c r="C59" s="4">
        <f t="shared" si="2"/>
        <v>46054</v>
      </c>
      <c r="D59" t="s">
        <v>113</v>
      </c>
      <c r="E59" t="s">
        <v>22</v>
      </c>
      <c r="F59" t="s">
        <v>23</v>
      </c>
      <c r="G59">
        <v>5</v>
      </c>
      <c r="H59" s="5">
        <v>450</v>
      </c>
      <c r="I59" s="5">
        <f t="shared" si="3"/>
        <v>2250</v>
      </c>
    </row>
    <row r="60" spans="1:9" x14ac:dyDescent="0.25">
      <c r="A60" t="s">
        <v>353</v>
      </c>
      <c r="B60" s="3">
        <v>46068</v>
      </c>
      <c r="C60" s="4">
        <f t="shared" si="2"/>
        <v>46054</v>
      </c>
      <c r="D60" t="s">
        <v>63</v>
      </c>
      <c r="E60" t="s">
        <v>49</v>
      </c>
      <c r="F60" t="s">
        <v>11</v>
      </c>
      <c r="G60">
        <v>1</v>
      </c>
      <c r="H60" s="5">
        <v>120</v>
      </c>
      <c r="I60" s="5">
        <f t="shared" si="3"/>
        <v>120</v>
      </c>
    </row>
    <row r="61" spans="1:9" x14ac:dyDescent="0.25">
      <c r="A61" t="s">
        <v>166</v>
      </c>
      <c r="B61" s="3">
        <v>46073</v>
      </c>
      <c r="C61" s="4">
        <f t="shared" si="2"/>
        <v>46054</v>
      </c>
      <c r="D61" t="s">
        <v>113</v>
      </c>
      <c r="E61" t="s">
        <v>22</v>
      </c>
      <c r="F61" t="s">
        <v>42</v>
      </c>
      <c r="G61">
        <v>2</v>
      </c>
      <c r="H61" s="5">
        <v>90</v>
      </c>
      <c r="I61" s="5">
        <f t="shared" si="3"/>
        <v>180</v>
      </c>
    </row>
    <row r="62" spans="1:9" x14ac:dyDescent="0.25">
      <c r="A62" t="s">
        <v>173</v>
      </c>
      <c r="B62" s="3">
        <v>46073</v>
      </c>
      <c r="C62" s="4">
        <f t="shared" si="2"/>
        <v>46054</v>
      </c>
      <c r="D62" t="s">
        <v>9</v>
      </c>
      <c r="E62" t="s">
        <v>122</v>
      </c>
      <c r="F62" t="s">
        <v>11</v>
      </c>
      <c r="G62">
        <v>2</v>
      </c>
      <c r="H62" s="5">
        <v>120</v>
      </c>
      <c r="I62" s="5">
        <f t="shared" si="3"/>
        <v>240</v>
      </c>
    </row>
    <row r="63" spans="1:9" x14ac:dyDescent="0.25">
      <c r="A63" t="s">
        <v>306</v>
      </c>
      <c r="B63" s="3">
        <v>46074</v>
      </c>
      <c r="C63" s="4">
        <f t="shared" si="2"/>
        <v>46054</v>
      </c>
      <c r="D63" t="s">
        <v>187</v>
      </c>
      <c r="E63" t="s">
        <v>49</v>
      </c>
      <c r="F63" t="s">
        <v>11</v>
      </c>
      <c r="G63">
        <v>5</v>
      </c>
      <c r="H63" s="5">
        <v>120</v>
      </c>
      <c r="I63" s="5">
        <f t="shared" si="3"/>
        <v>600</v>
      </c>
    </row>
    <row r="64" spans="1:9" x14ac:dyDescent="0.25">
      <c r="A64" t="s">
        <v>65</v>
      </c>
      <c r="B64" s="3">
        <v>46075</v>
      </c>
      <c r="C64" s="4">
        <f t="shared" si="2"/>
        <v>46054</v>
      </c>
      <c r="D64" t="s">
        <v>141</v>
      </c>
      <c r="E64" t="s">
        <v>22</v>
      </c>
      <c r="F64" t="s">
        <v>23</v>
      </c>
      <c r="G64">
        <v>4</v>
      </c>
      <c r="H64" s="5">
        <v>450</v>
      </c>
      <c r="I64" s="5">
        <f t="shared" si="3"/>
        <v>1800</v>
      </c>
    </row>
    <row r="65" spans="1:9" x14ac:dyDescent="0.25">
      <c r="A65" t="s">
        <v>194</v>
      </c>
      <c r="B65" s="3">
        <v>46075</v>
      </c>
      <c r="C65" s="4">
        <f t="shared" si="2"/>
        <v>46054</v>
      </c>
      <c r="D65" t="s">
        <v>121</v>
      </c>
      <c r="E65" t="s">
        <v>122</v>
      </c>
      <c r="F65" t="s">
        <v>11</v>
      </c>
      <c r="G65">
        <v>2</v>
      </c>
      <c r="H65" s="5">
        <v>120</v>
      </c>
      <c r="I65" s="5">
        <f t="shared" si="3"/>
        <v>240</v>
      </c>
    </row>
    <row r="66" spans="1:9" x14ac:dyDescent="0.25">
      <c r="A66" t="s">
        <v>51</v>
      </c>
      <c r="B66" s="3">
        <v>46078</v>
      </c>
      <c r="C66" s="4">
        <f t="shared" ref="C66:C97" si="4">DATE(YEAR(B66),MONTH(B66),1)</f>
        <v>46054</v>
      </c>
      <c r="D66" t="s">
        <v>141</v>
      </c>
      <c r="E66" t="s">
        <v>22</v>
      </c>
      <c r="F66" t="s">
        <v>11</v>
      </c>
      <c r="G66">
        <v>3</v>
      </c>
      <c r="H66" s="5">
        <v>120</v>
      </c>
      <c r="I66" s="5">
        <f t="shared" ref="I66:I97" si="5">G66*H66</f>
        <v>360</v>
      </c>
    </row>
    <row r="67" spans="1:9" x14ac:dyDescent="0.25">
      <c r="A67" t="s">
        <v>422</v>
      </c>
      <c r="B67" s="3">
        <v>46079</v>
      </c>
      <c r="C67" s="4">
        <f t="shared" si="4"/>
        <v>46054</v>
      </c>
      <c r="D67" t="s">
        <v>332</v>
      </c>
      <c r="E67" t="s">
        <v>97</v>
      </c>
      <c r="F67" t="s">
        <v>42</v>
      </c>
      <c r="G67">
        <v>1</v>
      </c>
      <c r="H67" s="5">
        <v>90</v>
      </c>
      <c r="I67" s="5">
        <f t="shared" si="5"/>
        <v>90</v>
      </c>
    </row>
    <row r="68" spans="1:9" x14ac:dyDescent="0.25">
      <c r="A68" t="s">
        <v>126</v>
      </c>
      <c r="B68" s="3">
        <v>46081</v>
      </c>
      <c r="C68" s="4">
        <f t="shared" si="4"/>
        <v>46054</v>
      </c>
      <c r="D68" t="s">
        <v>63</v>
      </c>
      <c r="E68" t="s">
        <v>49</v>
      </c>
      <c r="F68" t="s">
        <v>18</v>
      </c>
      <c r="G68">
        <v>4</v>
      </c>
      <c r="H68" s="5">
        <v>340</v>
      </c>
      <c r="I68" s="5">
        <f t="shared" si="5"/>
        <v>1360</v>
      </c>
    </row>
    <row r="69" spans="1:9" x14ac:dyDescent="0.25">
      <c r="A69" t="s">
        <v>219</v>
      </c>
      <c r="B69" s="3">
        <v>46085</v>
      </c>
      <c r="C69" s="4">
        <f t="shared" si="4"/>
        <v>46082</v>
      </c>
      <c r="D69" t="s">
        <v>187</v>
      </c>
      <c r="E69" t="s">
        <v>49</v>
      </c>
      <c r="F69" t="s">
        <v>18</v>
      </c>
      <c r="G69">
        <v>2</v>
      </c>
      <c r="H69" s="5">
        <v>340</v>
      </c>
      <c r="I69" s="5">
        <f t="shared" si="5"/>
        <v>680</v>
      </c>
    </row>
    <row r="70" spans="1:9" x14ac:dyDescent="0.25">
      <c r="A70" t="s">
        <v>225</v>
      </c>
      <c r="B70" s="3">
        <v>46086</v>
      </c>
      <c r="C70" s="4">
        <f t="shared" si="4"/>
        <v>46082</v>
      </c>
      <c r="D70" t="s">
        <v>121</v>
      </c>
      <c r="E70" t="s">
        <v>122</v>
      </c>
      <c r="F70" t="s">
        <v>23</v>
      </c>
      <c r="G70">
        <v>1</v>
      </c>
      <c r="H70" s="5">
        <v>450</v>
      </c>
      <c r="I70" s="5">
        <f t="shared" si="5"/>
        <v>450</v>
      </c>
    </row>
    <row r="71" spans="1:9" x14ac:dyDescent="0.25">
      <c r="A71" t="s">
        <v>318</v>
      </c>
      <c r="B71" s="3">
        <v>46086</v>
      </c>
      <c r="C71" s="4">
        <f t="shared" si="4"/>
        <v>46082</v>
      </c>
      <c r="D71" t="s">
        <v>332</v>
      </c>
      <c r="E71" t="s">
        <v>97</v>
      </c>
      <c r="F71" t="s">
        <v>42</v>
      </c>
      <c r="G71">
        <v>3</v>
      </c>
      <c r="H71" s="5">
        <v>90</v>
      </c>
      <c r="I71" s="5">
        <f t="shared" si="5"/>
        <v>270</v>
      </c>
    </row>
    <row r="72" spans="1:9" x14ac:dyDescent="0.25">
      <c r="A72" t="s">
        <v>73</v>
      </c>
      <c r="B72" s="3">
        <v>46089</v>
      </c>
      <c r="C72" s="4">
        <f t="shared" si="4"/>
        <v>46082</v>
      </c>
      <c r="D72" t="s">
        <v>141</v>
      </c>
      <c r="E72" t="s">
        <v>22</v>
      </c>
      <c r="F72" t="s">
        <v>11</v>
      </c>
      <c r="G72">
        <v>2</v>
      </c>
      <c r="H72" s="5">
        <v>120</v>
      </c>
      <c r="I72" s="5">
        <f t="shared" si="5"/>
        <v>240</v>
      </c>
    </row>
    <row r="73" spans="1:9" x14ac:dyDescent="0.25">
      <c r="A73" t="s">
        <v>195</v>
      </c>
      <c r="B73" s="3">
        <v>46089</v>
      </c>
      <c r="C73" s="4">
        <f t="shared" si="4"/>
        <v>46082</v>
      </c>
      <c r="D73" t="s">
        <v>200</v>
      </c>
      <c r="E73" t="s">
        <v>97</v>
      </c>
      <c r="F73" t="s">
        <v>18</v>
      </c>
      <c r="G73">
        <v>3</v>
      </c>
      <c r="H73" s="5">
        <v>340</v>
      </c>
      <c r="I73" s="5">
        <f t="shared" si="5"/>
        <v>1020</v>
      </c>
    </row>
    <row r="74" spans="1:9" x14ac:dyDescent="0.25">
      <c r="A74" t="s">
        <v>297</v>
      </c>
      <c r="B74" s="3">
        <v>46089</v>
      </c>
      <c r="C74" s="4">
        <f t="shared" si="4"/>
        <v>46082</v>
      </c>
      <c r="D74" t="s">
        <v>141</v>
      </c>
      <c r="E74" t="s">
        <v>22</v>
      </c>
      <c r="F74" t="s">
        <v>42</v>
      </c>
      <c r="G74">
        <v>5</v>
      </c>
      <c r="H74" s="5">
        <v>90</v>
      </c>
      <c r="I74" s="5">
        <f t="shared" si="5"/>
        <v>450</v>
      </c>
    </row>
    <row r="75" spans="1:9" x14ac:dyDescent="0.25">
      <c r="A75" t="s">
        <v>376</v>
      </c>
      <c r="B75" s="3">
        <v>46089</v>
      </c>
      <c r="C75" s="4">
        <f t="shared" si="4"/>
        <v>46082</v>
      </c>
      <c r="D75" t="s">
        <v>9</v>
      </c>
      <c r="E75" t="s">
        <v>122</v>
      </c>
      <c r="F75" t="s">
        <v>11</v>
      </c>
      <c r="G75">
        <v>2</v>
      </c>
      <c r="H75" s="5">
        <v>120</v>
      </c>
      <c r="I75" s="5">
        <f t="shared" si="5"/>
        <v>240</v>
      </c>
    </row>
    <row r="76" spans="1:9" x14ac:dyDescent="0.25">
      <c r="A76" t="s">
        <v>392</v>
      </c>
      <c r="B76" s="3">
        <v>46089</v>
      </c>
      <c r="C76" s="4">
        <f t="shared" si="4"/>
        <v>46082</v>
      </c>
      <c r="D76" t="s">
        <v>200</v>
      </c>
      <c r="E76" t="s">
        <v>97</v>
      </c>
      <c r="F76" t="s">
        <v>11</v>
      </c>
      <c r="G76">
        <v>3</v>
      </c>
      <c r="H76" s="5">
        <v>120</v>
      </c>
      <c r="I76" s="5">
        <f t="shared" si="5"/>
        <v>360</v>
      </c>
    </row>
    <row r="77" spans="1:9" x14ac:dyDescent="0.25">
      <c r="A77" t="s">
        <v>92</v>
      </c>
      <c r="B77" s="3">
        <v>46090</v>
      </c>
      <c r="C77" s="4">
        <f t="shared" si="4"/>
        <v>46082</v>
      </c>
      <c r="D77" t="s">
        <v>187</v>
      </c>
      <c r="E77" t="s">
        <v>49</v>
      </c>
      <c r="F77" t="s">
        <v>11</v>
      </c>
      <c r="G77">
        <v>1</v>
      </c>
      <c r="H77" s="5">
        <v>120</v>
      </c>
      <c r="I77" s="5">
        <f t="shared" si="5"/>
        <v>120</v>
      </c>
    </row>
    <row r="78" spans="1:9" x14ac:dyDescent="0.25">
      <c r="A78" t="s">
        <v>26</v>
      </c>
      <c r="B78" s="3">
        <v>46091</v>
      </c>
      <c r="C78" s="4">
        <f t="shared" si="4"/>
        <v>46082</v>
      </c>
      <c r="D78" t="s">
        <v>187</v>
      </c>
      <c r="E78" t="s">
        <v>49</v>
      </c>
      <c r="F78" t="s">
        <v>18</v>
      </c>
      <c r="G78">
        <v>2</v>
      </c>
      <c r="H78" s="5">
        <v>340</v>
      </c>
      <c r="I78" s="5">
        <f t="shared" si="5"/>
        <v>680</v>
      </c>
    </row>
    <row r="79" spans="1:9" x14ac:dyDescent="0.25">
      <c r="A79" t="s">
        <v>335</v>
      </c>
      <c r="B79" s="3">
        <v>46091</v>
      </c>
      <c r="C79" s="4">
        <f t="shared" si="4"/>
        <v>46082</v>
      </c>
      <c r="D79" t="s">
        <v>121</v>
      </c>
      <c r="E79" t="s">
        <v>122</v>
      </c>
      <c r="F79" t="s">
        <v>42</v>
      </c>
      <c r="G79">
        <v>3</v>
      </c>
      <c r="H79" s="5">
        <v>90</v>
      </c>
      <c r="I79" s="5">
        <f t="shared" si="5"/>
        <v>270</v>
      </c>
    </row>
    <row r="80" spans="1:9" x14ac:dyDescent="0.25">
      <c r="A80" t="s">
        <v>383</v>
      </c>
      <c r="B80" s="3">
        <v>46092</v>
      </c>
      <c r="C80" s="4">
        <f t="shared" si="4"/>
        <v>46082</v>
      </c>
      <c r="D80" t="s">
        <v>63</v>
      </c>
      <c r="E80" t="s">
        <v>49</v>
      </c>
      <c r="F80" t="s">
        <v>11</v>
      </c>
      <c r="G80">
        <v>3</v>
      </c>
      <c r="H80" s="5">
        <v>120</v>
      </c>
      <c r="I80" s="5">
        <f t="shared" si="5"/>
        <v>360</v>
      </c>
    </row>
    <row r="81" spans="1:9" x14ac:dyDescent="0.25">
      <c r="A81" t="s">
        <v>206</v>
      </c>
      <c r="B81" s="3">
        <v>46093</v>
      </c>
      <c r="C81" s="4">
        <f t="shared" si="4"/>
        <v>46082</v>
      </c>
      <c r="D81" t="s">
        <v>187</v>
      </c>
      <c r="E81" t="s">
        <v>49</v>
      </c>
      <c r="F81" t="s">
        <v>42</v>
      </c>
      <c r="G81">
        <v>5</v>
      </c>
      <c r="H81" s="5">
        <v>90</v>
      </c>
      <c r="I81" s="5">
        <f t="shared" si="5"/>
        <v>450</v>
      </c>
    </row>
    <row r="82" spans="1:9" x14ac:dyDescent="0.25">
      <c r="A82" t="s">
        <v>159</v>
      </c>
      <c r="B82" s="3">
        <v>46095</v>
      </c>
      <c r="C82" s="4">
        <f t="shared" si="4"/>
        <v>46082</v>
      </c>
      <c r="D82" t="s">
        <v>332</v>
      </c>
      <c r="E82" t="s">
        <v>97</v>
      </c>
      <c r="F82" t="s">
        <v>42</v>
      </c>
      <c r="G82">
        <v>1</v>
      </c>
      <c r="H82" s="5">
        <v>90</v>
      </c>
      <c r="I82" s="5">
        <f t="shared" si="5"/>
        <v>90</v>
      </c>
    </row>
    <row r="83" spans="1:9" x14ac:dyDescent="0.25">
      <c r="A83" t="s">
        <v>277</v>
      </c>
      <c r="B83" s="3">
        <v>46096</v>
      </c>
      <c r="C83" s="4">
        <f t="shared" si="4"/>
        <v>46082</v>
      </c>
      <c r="D83" t="s">
        <v>200</v>
      </c>
      <c r="E83" t="s">
        <v>97</v>
      </c>
      <c r="F83" t="s">
        <v>18</v>
      </c>
      <c r="G83">
        <v>5</v>
      </c>
      <c r="H83" s="5">
        <v>340</v>
      </c>
      <c r="I83" s="5">
        <f t="shared" si="5"/>
        <v>1700</v>
      </c>
    </row>
    <row r="84" spans="1:9" x14ac:dyDescent="0.25">
      <c r="A84" t="s">
        <v>238</v>
      </c>
      <c r="B84" s="3">
        <v>46097</v>
      </c>
      <c r="C84" s="4">
        <f t="shared" si="4"/>
        <v>46082</v>
      </c>
      <c r="D84" t="s">
        <v>187</v>
      </c>
      <c r="E84" t="s">
        <v>49</v>
      </c>
      <c r="F84" t="s">
        <v>42</v>
      </c>
      <c r="G84">
        <v>4</v>
      </c>
      <c r="H84" s="5">
        <v>90</v>
      </c>
      <c r="I84" s="5">
        <f t="shared" si="5"/>
        <v>360</v>
      </c>
    </row>
    <row r="85" spans="1:9" x14ac:dyDescent="0.25">
      <c r="A85" t="s">
        <v>253</v>
      </c>
      <c r="B85" s="3">
        <v>46097</v>
      </c>
      <c r="C85" s="4">
        <f t="shared" si="4"/>
        <v>46082</v>
      </c>
      <c r="D85" t="s">
        <v>332</v>
      </c>
      <c r="E85" t="s">
        <v>97</v>
      </c>
      <c r="F85" t="s">
        <v>42</v>
      </c>
      <c r="G85">
        <v>1</v>
      </c>
      <c r="H85" s="5">
        <v>90</v>
      </c>
      <c r="I85" s="5">
        <f t="shared" si="5"/>
        <v>90</v>
      </c>
    </row>
    <row r="86" spans="1:9" x14ac:dyDescent="0.25">
      <c r="A86" t="s">
        <v>324</v>
      </c>
      <c r="B86" s="3">
        <v>46097</v>
      </c>
      <c r="C86" s="4">
        <f t="shared" si="4"/>
        <v>46082</v>
      </c>
      <c r="D86" t="s">
        <v>121</v>
      </c>
      <c r="E86" t="s">
        <v>122</v>
      </c>
      <c r="F86" t="s">
        <v>18</v>
      </c>
      <c r="G86">
        <v>3</v>
      </c>
      <c r="H86" s="5">
        <v>340</v>
      </c>
      <c r="I86" s="5">
        <f t="shared" si="5"/>
        <v>1020</v>
      </c>
    </row>
    <row r="87" spans="1:9" x14ac:dyDescent="0.25">
      <c r="A87" t="s">
        <v>355</v>
      </c>
      <c r="B87" s="3">
        <v>46100</v>
      </c>
      <c r="C87" s="4">
        <f t="shared" si="4"/>
        <v>46082</v>
      </c>
      <c r="D87" t="s">
        <v>9</v>
      </c>
      <c r="E87" t="s">
        <v>122</v>
      </c>
      <c r="F87" t="s">
        <v>42</v>
      </c>
      <c r="G87">
        <v>1</v>
      </c>
      <c r="H87" s="5">
        <v>90</v>
      </c>
      <c r="I87" s="5">
        <f t="shared" si="5"/>
        <v>90</v>
      </c>
    </row>
    <row r="88" spans="1:9" x14ac:dyDescent="0.25">
      <c r="A88" t="s">
        <v>81</v>
      </c>
      <c r="B88" s="3">
        <v>46102</v>
      </c>
      <c r="C88" s="4">
        <f t="shared" si="4"/>
        <v>46082</v>
      </c>
      <c r="D88" t="s">
        <v>63</v>
      </c>
      <c r="E88" t="s">
        <v>49</v>
      </c>
      <c r="F88" t="s">
        <v>23</v>
      </c>
      <c r="G88">
        <v>3</v>
      </c>
      <c r="H88" s="5">
        <v>450</v>
      </c>
      <c r="I88" s="5">
        <f t="shared" si="5"/>
        <v>1350</v>
      </c>
    </row>
    <row r="89" spans="1:9" x14ac:dyDescent="0.25">
      <c r="A89" t="s">
        <v>284</v>
      </c>
      <c r="B89" s="3">
        <v>46103</v>
      </c>
      <c r="C89" s="4">
        <f t="shared" si="4"/>
        <v>46082</v>
      </c>
      <c r="D89" t="s">
        <v>113</v>
      </c>
      <c r="E89" t="s">
        <v>22</v>
      </c>
      <c r="F89" t="s">
        <v>23</v>
      </c>
      <c r="G89">
        <v>5</v>
      </c>
      <c r="H89" s="5">
        <v>450</v>
      </c>
      <c r="I89" s="5">
        <f t="shared" si="5"/>
        <v>2250</v>
      </c>
    </row>
    <row r="90" spans="1:9" x14ac:dyDescent="0.25">
      <c r="A90" t="s">
        <v>244</v>
      </c>
      <c r="B90" s="3">
        <v>46104</v>
      </c>
      <c r="C90" s="4">
        <f t="shared" si="4"/>
        <v>46082</v>
      </c>
      <c r="D90" t="s">
        <v>187</v>
      </c>
      <c r="E90" t="s">
        <v>49</v>
      </c>
      <c r="F90" t="s">
        <v>23</v>
      </c>
      <c r="G90">
        <v>5</v>
      </c>
      <c r="H90" s="5">
        <v>450</v>
      </c>
      <c r="I90" s="5">
        <f t="shared" si="5"/>
        <v>2250</v>
      </c>
    </row>
    <row r="91" spans="1:9" x14ac:dyDescent="0.25">
      <c r="A91" t="s">
        <v>310</v>
      </c>
      <c r="B91" s="3">
        <v>46105</v>
      </c>
      <c r="C91" s="4">
        <f t="shared" si="4"/>
        <v>46082</v>
      </c>
      <c r="D91" t="s">
        <v>63</v>
      </c>
      <c r="E91" t="s">
        <v>49</v>
      </c>
      <c r="F91" t="s">
        <v>23</v>
      </c>
      <c r="G91">
        <v>5</v>
      </c>
      <c r="H91" s="5">
        <v>450</v>
      </c>
      <c r="I91" s="5">
        <f t="shared" si="5"/>
        <v>2250</v>
      </c>
    </row>
    <row r="92" spans="1:9" x14ac:dyDescent="0.25">
      <c r="A92" t="s">
        <v>89</v>
      </c>
      <c r="B92" s="3">
        <v>46106</v>
      </c>
      <c r="C92" s="4">
        <f t="shared" si="4"/>
        <v>46082</v>
      </c>
      <c r="D92" t="s">
        <v>200</v>
      </c>
      <c r="E92" t="s">
        <v>97</v>
      </c>
      <c r="F92" t="s">
        <v>23</v>
      </c>
      <c r="G92">
        <v>2</v>
      </c>
      <c r="H92" s="5">
        <v>450</v>
      </c>
      <c r="I92" s="5">
        <f t="shared" si="5"/>
        <v>900</v>
      </c>
    </row>
    <row r="93" spans="1:9" x14ac:dyDescent="0.25">
      <c r="A93" t="s">
        <v>152</v>
      </c>
      <c r="B93" s="3">
        <v>46106</v>
      </c>
      <c r="C93" s="4">
        <f t="shared" si="4"/>
        <v>46082</v>
      </c>
      <c r="D93" t="s">
        <v>121</v>
      </c>
      <c r="E93" t="s">
        <v>122</v>
      </c>
      <c r="F93" t="s">
        <v>23</v>
      </c>
      <c r="G93">
        <v>3</v>
      </c>
      <c r="H93" s="5">
        <v>450</v>
      </c>
      <c r="I93" s="5">
        <f t="shared" si="5"/>
        <v>1350</v>
      </c>
    </row>
    <row r="94" spans="1:9" x14ac:dyDescent="0.25">
      <c r="A94" t="s">
        <v>249</v>
      </c>
      <c r="B94" s="3">
        <v>46106</v>
      </c>
      <c r="C94" s="4">
        <f t="shared" si="4"/>
        <v>46082</v>
      </c>
      <c r="D94" t="s">
        <v>63</v>
      </c>
      <c r="E94" t="s">
        <v>49</v>
      </c>
      <c r="F94" t="s">
        <v>23</v>
      </c>
      <c r="G94">
        <v>2</v>
      </c>
      <c r="H94" s="5">
        <v>450</v>
      </c>
      <c r="I94" s="5">
        <f t="shared" si="5"/>
        <v>900</v>
      </c>
    </row>
    <row r="95" spans="1:9" x14ac:dyDescent="0.25">
      <c r="A95" t="s">
        <v>255</v>
      </c>
      <c r="B95" s="3">
        <v>46106</v>
      </c>
      <c r="C95" s="4">
        <f t="shared" si="4"/>
        <v>46082</v>
      </c>
      <c r="D95" t="s">
        <v>141</v>
      </c>
      <c r="E95" t="s">
        <v>22</v>
      </c>
      <c r="F95" t="s">
        <v>23</v>
      </c>
      <c r="G95">
        <v>5</v>
      </c>
      <c r="H95" s="5">
        <v>450</v>
      </c>
      <c r="I95" s="5">
        <f t="shared" si="5"/>
        <v>2250</v>
      </c>
    </row>
    <row r="96" spans="1:9" x14ac:dyDescent="0.25">
      <c r="A96" t="s">
        <v>362</v>
      </c>
      <c r="B96" s="3">
        <v>46106</v>
      </c>
      <c r="C96" s="4">
        <f t="shared" si="4"/>
        <v>46082</v>
      </c>
      <c r="D96" t="s">
        <v>200</v>
      </c>
      <c r="E96" t="s">
        <v>97</v>
      </c>
      <c r="F96" t="s">
        <v>23</v>
      </c>
      <c r="G96">
        <v>5</v>
      </c>
      <c r="H96" s="5">
        <v>450</v>
      </c>
      <c r="I96" s="5">
        <f t="shared" si="5"/>
        <v>2250</v>
      </c>
    </row>
    <row r="97" spans="1:9" x14ac:dyDescent="0.25">
      <c r="A97" t="s">
        <v>328</v>
      </c>
      <c r="B97" s="3">
        <v>46109</v>
      </c>
      <c r="C97" s="4">
        <f t="shared" si="4"/>
        <v>46082</v>
      </c>
      <c r="D97" t="s">
        <v>9</v>
      </c>
      <c r="E97" t="s">
        <v>122</v>
      </c>
      <c r="F97" t="s">
        <v>42</v>
      </c>
      <c r="G97">
        <v>5</v>
      </c>
      <c r="H97" s="5">
        <v>90</v>
      </c>
      <c r="I97" s="5">
        <f t="shared" si="5"/>
        <v>450</v>
      </c>
    </row>
    <row r="98" spans="1:9" x14ac:dyDescent="0.25">
      <c r="A98" t="s">
        <v>304</v>
      </c>
      <c r="B98" s="3">
        <v>46110</v>
      </c>
      <c r="C98" s="4">
        <f t="shared" ref="C98:C129" si="6">DATE(YEAR(B98),MONTH(B98),1)</f>
        <v>46082</v>
      </c>
      <c r="D98" t="s">
        <v>121</v>
      </c>
      <c r="E98" t="s">
        <v>122</v>
      </c>
      <c r="F98" t="s">
        <v>23</v>
      </c>
      <c r="G98">
        <v>4</v>
      </c>
      <c r="H98" s="5">
        <v>450</v>
      </c>
      <c r="I98" s="5">
        <f t="shared" ref="I98:I129" si="7">G98*H98</f>
        <v>1800</v>
      </c>
    </row>
    <row r="99" spans="1:9" x14ac:dyDescent="0.25">
      <c r="A99" t="s">
        <v>358</v>
      </c>
      <c r="B99" s="3">
        <v>46114</v>
      </c>
      <c r="C99" s="4">
        <f t="shared" si="6"/>
        <v>46113</v>
      </c>
      <c r="D99" t="s">
        <v>121</v>
      </c>
      <c r="E99" t="s">
        <v>122</v>
      </c>
      <c r="F99" t="s">
        <v>18</v>
      </c>
      <c r="G99">
        <v>1</v>
      </c>
      <c r="H99" s="5">
        <v>340</v>
      </c>
      <c r="I99" s="5">
        <f t="shared" si="7"/>
        <v>340</v>
      </c>
    </row>
    <row r="100" spans="1:9" x14ac:dyDescent="0.25">
      <c r="A100" t="s">
        <v>107</v>
      </c>
      <c r="B100" s="3">
        <v>46115</v>
      </c>
      <c r="C100" s="4">
        <f t="shared" si="6"/>
        <v>46113</v>
      </c>
      <c r="D100" t="s">
        <v>141</v>
      </c>
      <c r="E100" t="s">
        <v>22</v>
      </c>
      <c r="F100" t="s">
        <v>42</v>
      </c>
      <c r="G100">
        <v>5</v>
      </c>
      <c r="H100" s="5">
        <v>90</v>
      </c>
      <c r="I100" s="5">
        <f t="shared" si="7"/>
        <v>450</v>
      </c>
    </row>
    <row r="101" spans="1:9" x14ac:dyDescent="0.25">
      <c r="A101" t="s">
        <v>339</v>
      </c>
      <c r="B101" s="3">
        <v>46117</v>
      </c>
      <c r="C101" s="4">
        <f t="shared" si="6"/>
        <v>46113</v>
      </c>
      <c r="D101" t="s">
        <v>121</v>
      </c>
      <c r="E101" t="s">
        <v>122</v>
      </c>
      <c r="F101" t="s">
        <v>18</v>
      </c>
      <c r="G101">
        <v>2</v>
      </c>
      <c r="H101" s="5">
        <v>340</v>
      </c>
      <c r="I101" s="5">
        <f t="shared" si="7"/>
        <v>680</v>
      </c>
    </row>
    <row r="102" spans="1:9" x14ac:dyDescent="0.25">
      <c r="A102" t="s">
        <v>404</v>
      </c>
      <c r="B102" s="3">
        <v>46118</v>
      </c>
      <c r="C102" s="4">
        <f t="shared" si="6"/>
        <v>46113</v>
      </c>
      <c r="D102" t="s">
        <v>113</v>
      </c>
      <c r="E102" t="s">
        <v>22</v>
      </c>
      <c r="F102" t="s">
        <v>18</v>
      </c>
      <c r="G102">
        <v>1</v>
      </c>
      <c r="H102" s="5">
        <v>340</v>
      </c>
      <c r="I102" s="5">
        <f t="shared" si="7"/>
        <v>340</v>
      </c>
    </row>
    <row r="103" spans="1:9" x14ac:dyDescent="0.25">
      <c r="A103" t="s">
        <v>54</v>
      </c>
      <c r="B103" s="3">
        <v>46119</v>
      </c>
      <c r="C103" s="4">
        <f t="shared" si="6"/>
        <v>46113</v>
      </c>
      <c r="D103" t="s">
        <v>113</v>
      </c>
      <c r="E103" t="s">
        <v>22</v>
      </c>
      <c r="F103" t="s">
        <v>11</v>
      </c>
      <c r="G103">
        <v>5</v>
      </c>
      <c r="H103" s="5">
        <v>120</v>
      </c>
      <c r="I103" s="5">
        <f t="shared" si="7"/>
        <v>600</v>
      </c>
    </row>
    <row r="104" spans="1:9" x14ac:dyDescent="0.25">
      <c r="A104" t="s">
        <v>95</v>
      </c>
      <c r="B104" s="3">
        <v>46119</v>
      </c>
      <c r="C104" s="4">
        <f t="shared" si="6"/>
        <v>46113</v>
      </c>
      <c r="D104" t="s">
        <v>332</v>
      </c>
      <c r="E104" t="s">
        <v>97</v>
      </c>
      <c r="F104" t="s">
        <v>23</v>
      </c>
      <c r="G104">
        <v>3</v>
      </c>
      <c r="H104" s="5">
        <v>450</v>
      </c>
      <c r="I104" s="5">
        <f t="shared" si="7"/>
        <v>1350</v>
      </c>
    </row>
    <row r="105" spans="1:9" x14ac:dyDescent="0.25">
      <c r="A105" t="s">
        <v>273</v>
      </c>
      <c r="B105" s="3">
        <v>46119</v>
      </c>
      <c r="C105" s="4">
        <f t="shared" si="6"/>
        <v>46113</v>
      </c>
      <c r="D105" t="s">
        <v>9</v>
      </c>
      <c r="E105" t="s">
        <v>122</v>
      </c>
      <c r="F105" t="s">
        <v>11</v>
      </c>
      <c r="G105">
        <v>4</v>
      </c>
      <c r="H105" s="5">
        <v>120</v>
      </c>
      <c r="I105" s="5">
        <f t="shared" si="7"/>
        <v>480</v>
      </c>
    </row>
    <row r="106" spans="1:9" x14ac:dyDescent="0.25">
      <c r="A106" t="s">
        <v>399</v>
      </c>
      <c r="B106" s="3">
        <v>46119</v>
      </c>
      <c r="C106" s="4">
        <f t="shared" si="6"/>
        <v>46113</v>
      </c>
      <c r="D106" t="s">
        <v>9</v>
      </c>
      <c r="E106" t="s">
        <v>122</v>
      </c>
      <c r="F106" t="s">
        <v>23</v>
      </c>
      <c r="G106">
        <v>2</v>
      </c>
      <c r="H106" s="5">
        <v>450</v>
      </c>
      <c r="I106" s="5">
        <f t="shared" si="7"/>
        <v>900</v>
      </c>
    </row>
    <row r="107" spans="1:9" x14ac:dyDescent="0.25">
      <c r="A107" t="s">
        <v>247</v>
      </c>
      <c r="B107" s="3">
        <v>46124</v>
      </c>
      <c r="C107" s="4">
        <f t="shared" si="6"/>
        <v>46113</v>
      </c>
      <c r="D107" t="s">
        <v>332</v>
      </c>
      <c r="E107" t="s">
        <v>97</v>
      </c>
      <c r="F107" t="s">
        <v>11</v>
      </c>
      <c r="G107">
        <v>3</v>
      </c>
      <c r="H107" s="5">
        <v>120</v>
      </c>
      <c r="I107" s="5">
        <f t="shared" si="7"/>
        <v>360</v>
      </c>
    </row>
    <row r="108" spans="1:9" x14ac:dyDescent="0.25">
      <c r="A108" t="s">
        <v>347</v>
      </c>
      <c r="B108" s="3">
        <v>46126</v>
      </c>
      <c r="C108" s="4">
        <f t="shared" si="6"/>
        <v>46113</v>
      </c>
      <c r="D108" t="s">
        <v>63</v>
      </c>
      <c r="E108" t="s">
        <v>49</v>
      </c>
      <c r="F108" t="s">
        <v>11</v>
      </c>
      <c r="G108">
        <v>4</v>
      </c>
      <c r="H108" s="5">
        <v>120</v>
      </c>
      <c r="I108" s="5">
        <f t="shared" si="7"/>
        <v>480</v>
      </c>
    </row>
    <row r="109" spans="1:9" x14ac:dyDescent="0.25">
      <c r="A109" t="s">
        <v>190</v>
      </c>
      <c r="B109" s="3">
        <v>46128</v>
      </c>
      <c r="C109" s="4">
        <f t="shared" si="6"/>
        <v>46113</v>
      </c>
      <c r="D109" t="s">
        <v>187</v>
      </c>
      <c r="E109" t="s">
        <v>49</v>
      </c>
      <c r="F109" t="s">
        <v>23</v>
      </c>
      <c r="G109">
        <v>1</v>
      </c>
      <c r="H109" s="5">
        <v>450</v>
      </c>
      <c r="I109" s="5">
        <f t="shared" si="7"/>
        <v>450</v>
      </c>
    </row>
    <row r="110" spans="1:9" x14ac:dyDescent="0.25">
      <c r="A110" t="s">
        <v>363</v>
      </c>
      <c r="B110" s="3">
        <v>46128</v>
      </c>
      <c r="C110" s="4">
        <f t="shared" si="6"/>
        <v>46113</v>
      </c>
      <c r="D110" t="s">
        <v>141</v>
      </c>
      <c r="E110" t="s">
        <v>22</v>
      </c>
      <c r="F110" t="s">
        <v>42</v>
      </c>
      <c r="G110">
        <v>1</v>
      </c>
      <c r="H110" s="5">
        <v>90</v>
      </c>
      <c r="I110" s="5">
        <f t="shared" si="7"/>
        <v>90</v>
      </c>
    </row>
    <row r="111" spans="1:9" x14ac:dyDescent="0.25">
      <c r="A111" t="s">
        <v>98</v>
      </c>
      <c r="B111" s="3">
        <v>46129</v>
      </c>
      <c r="C111" s="4">
        <f t="shared" si="6"/>
        <v>46113</v>
      </c>
      <c r="D111" t="s">
        <v>121</v>
      </c>
      <c r="E111" t="s">
        <v>122</v>
      </c>
      <c r="F111" t="s">
        <v>23</v>
      </c>
      <c r="G111">
        <v>4</v>
      </c>
      <c r="H111" s="5">
        <v>450</v>
      </c>
      <c r="I111" s="5">
        <f t="shared" si="7"/>
        <v>1800</v>
      </c>
    </row>
    <row r="112" spans="1:9" x14ac:dyDescent="0.25">
      <c r="A112" t="s">
        <v>360</v>
      </c>
      <c r="B112" s="3">
        <v>46129</v>
      </c>
      <c r="C112" s="4">
        <f t="shared" si="6"/>
        <v>46113</v>
      </c>
      <c r="D112" t="s">
        <v>200</v>
      </c>
      <c r="E112" t="s">
        <v>97</v>
      </c>
      <c r="F112" t="s">
        <v>18</v>
      </c>
      <c r="G112">
        <v>1</v>
      </c>
      <c r="H112" s="5">
        <v>340</v>
      </c>
      <c r="I112" s="5">
        <f t="shared" si="7"/>
        <v>340</v>
      </c>
    </row>
    <row r="113" spans="1:9" x14ac:dyDescent="0.25">
      <c r="A113" t="s">
        <v>402</v>
      </c>
      <c r="B113" s="3">
        <v>46129</v>
      </c>
      <c r="C113" s="4">
        <f t="shared" si="6"/>
        <v>46113</v>
      </c>
      <c r="D113" t="s">
        <v>332</v>
      </c>
      <c r="E113" t="s">
        <v>97</v>
      </c>
      <c r="F113" t="s">
        <v>11</v>
      </c>
      <c r="G113">
        <v>5</v>
      </c>
      <c r="H113" s="5">
        <v>120</v>
      </c>
      <c r="I113" s="5">
        <f t="shared" si="7"/>
        <v>600</v>
      </c>
    </row>
    <row r="114" spans="1:9" x14ac:dyDescent="0.25">
      <c r="A114" t="s">
        <v>67</v>
      </c>
      <c r="B114" s="3">
        <v>46132</v>
      </c>
      <c r="C114" s="4">
        <f t="shared" si="6"/>
        <v>46113</v>
      </c>
      <c r="D114" t="s">
        <v>141</v>
      </c>
      <c r="E114" t="s">
        <v>22</v>
      </c>
      <c r="F114" t="s">
        <v>11</v>
      </c>
      <c r="G114">
        <v>3</v>
      </c>
      <c r="H114" s="5">
        <v>120</v>
      </c>
      <c r="I114" s="5">
        <f t="shared" si="7"/>
        <v>360</v>
      </c>
    </row>
    <row r="115" spans="1:9" x14ac:dyDescent="0.25">
      <c r="A115" t="s">
        <v>221</v>
      </c>
      <c r="B115" s="3">
        <v>46132</v>
      </c>
      <c r="C115" s="4">
        <f t="shared" si="6"/>
        <v>46113</v>
      </c>
      <c r="D115" t="s">
        <v>187</v>
      </c>
      <c r="E115" t="s">
        <v>49</v>
      </c>
      <c r="F115" t="s">
        <v>42</v>
      </c>
      <c r="G115">
        <v>2</v>
      </c>
      <c r="H115" s="5">
        <v>90</v>
      </c>
      <c r="I115" s="5">
        <f t="shared" si="7"/>
        <v>180</v>
      </c>
    </row>
    <row r="116" spans="1:9" x14ac:dyDescent="0.25">
      <c r="A116" t="s">
        <v>164</v>
      </c>
      <c r="B116" s="3">
        <v>46134</v>
      </c>
      <c r="C116" s="4">
        <f t="shared" si="6"/>
        <v>46113</v>
      </c>
      <c r="D116" t="s">
        <v>121</v>
      </c>
      <c r="E116" t="s">
        <v>122</v>
      </c>
      <c r="F116" t="s">
        <v>42</v>
      </c>
      <c r="G116">
        <v>5</v>
      </c>
      <c r="H116" s="5">
        <v>90</v>
      </c>
      <c r="I116" s="5">
        <f t="shared" si="7"/>
        <v>450</v>
      </c>
    </row>
    <row r="117" spans="1:9" x14ac:dyDescent="0.25">
      <c r="A117" t="s">
        <v>233</v>
      </c>
      <c r="B117" s="3">
        <v>46134</v>
      </c>
      <c r="C117" s="4">
        <f t="shared" si="6"/>
        <v>46113</v>
      </c>
      <c r="D117" t="s">
        <v>113</v>
      </c>
      <c r="E117" t="s">
        <v>22</v>
      </c>
      <c r="F117" t="s">
        <v>18</v>
      </c>
      <c r="G117">
        <v>3</v>
      </c>
      <c r="H117" s="5">
        <v>340</v>
      </c>
      <c r="I117" s="5">
        <f t="shared" si="7"/>
        <v>1020</v>
      </c>
    </row>
    <row r="118" spans="1:9" x14ac:dyDescent="0.25">
      <c r="A118" t="s">
        <v>251</v>
      </c>
      <c r="B118" s="3">
        <v>46134</v>
      </c>
      <c r="C118" s="4">
        <f t="shared" si="6"/>
        <v>46113</v>
      </c>
      <c r="D118" t="s">
        <v>141</v>
      </c>
      <c r="E118" t="s">
        <v>22</v>
      </c>
      <c r="F118" t="s">
        <v>42</v>
      </c>
      <c r="G118">
        <v>3</v>
      </c>
      <c r="H118" s="5">
        <v>90</v>
      </c>
      <c r="I118" s="5">
        <f t="shared" si="7"/>
        <v>270</v>
      </c>
    </row>
    <row r="119" spans="1:9" x14ac:dyDescent="0.25">
      <c r="A119" t="s">
        <v>397</v>
      </c>
      <c r="B119" s="3">
        <v>46135</v>
      </c>
      <c r="C119" s="4">
        <f t="shared" si="6"/>
        <v>46113</v>
      </c>
      <c r="D119" t="s">
        <v>141</v>
      </c>
      <c r="E119" t="s">
        <v>22</v>
      </c>
      <c r="F119" t="s">
        <v>11</v>
      </c>
      <c r="G119">
        <v>3</v>
      </c>
      <c r="H119" s="5">
        <v>120</v>
      </c>
      <c r="I119" s="5">
        <f t="shared" si="7"/>
        <v>360</v>
      </c>
    </row>
    <row r="120" spans="1:9" x14ac:dyDescent="0.25">
      <c r="A120" t="s">
        <v>61</v>
      </c>
      <c r="B120" s="3">
        <v>46136</v>
      </c>
      <c r="C120" s="4">
        <f t="shared" si="6"/>
        <v>46113</v>
      </c>
      <c r="D120" t="s">
        <v>63</v>
      </c>
      <c r="E120" t="s">
        <v>49</v>
      </c>
      <c r="F120" t="s">
        <v>23</v>
      </c>
      <c r="G120">
        <v>1</v>
      </c>
      <c r="H120" s="5">
        <v>450</v>
      </c>
      <c r="I120" s="5">
        <f t="shared" si="7"/>
        <v>450</v>
      </c>
    </row>
    <row r="121" spans="1:9" x14ac:dyDescent="0.25">
      <c r="A121" t="s">
        <v>320</v>
      </c>
      <c r="B121" s="3">
        <v>46136</v>
      </c>
      <c r="C121" s="4">
        <f t="shared" si="6"/>
        <v>46113</v>
      </c>
      <c r="D121" t="s">
        <v>9</v>
      </c>
      <c r="E121" t="s">
        <v>122</v>
      </c>
      <c r="F121" t="s">
        <v>11</v>
      </c>
      <c r="G121">
        <v>4</v>
      </c>
      <c r="H121" s="5">
        <v>120</v>
      </c>
      <c r="I121" s="5">
        <f t="shared" si="7"/>
        <v>480</v>
      </c>
    </row>
    <row r="122" spans="1:9" x14ac:dyDescent="0.25">
      <c r="A122" t="s">
        <v>136</v>
      </c>
      <c r="B122" s="3">
        <v>46137</v>
      </c>
      <c r="C122" s="4">
        <f t="shared" si="6"/>
        <v>46113</v>
      </c>
      <c r="D122" t="s">
        <v>121</v>
      </c>
      <c r="E122" t="s">
        <v>122</v>
      </c>
      <c r="F122" t="s">
        <v>42</v>
      </c>
      <c r="G122">
        <v>4</v>
      </c>
      <c r="H122" s="5">
        <v>90</v>
      </c>
      <c r="I122" s="5">
        <f t="shared" si="7"/>
        <v>360</v>
      </c>
    </row>
    <row r="123" spans="1:9" x14ac:dyDescent="0.25">
      <c r="A123" t="s">
        <v>400</v>
      </c>
      <c r="B123" s="3">
        <v>46137</v>
      </c>
      <c r="C123" s="4">
        <f t="shared" si="6"/>
        <v>46113</v>
      </c>
      <c r="D123" t="s">
        <v>187</v>
      </c>
      <c r="E123" t="s">
        <v>49</v>
      </c>
      <c r="F123" t="s">
        <v>11</v>
      </c>
      <c r="G123">
        <v>5</v>
      </c>
      <c r="H123" s="5">
        <v>120</v>
      </c>
      <c r="I123" s="5">
        <f t="shared" si="7"/>
        <v>600</v>
      </c>
    </row>
    <row r="124" spans="1:9" x14ac:dyDescent="0.25">
      <c r="A124" t="s">
        <v>258</v>
      </c>
      <c r="B124" s="3">
        <v>46138</v>
      </c>
      <c r="C124" s="4">
        <f t="shared" si="6"/>
        <v>46113</v>
      </c>
      <c r="D124" t="s">
        <v>200</v>
      </c>
      <c r="E124" t="s">
        <v>97</v>
      </c>
      <c r="F124" t="s">
        <v>42</v>
      </c>
      <c r="G124">
        <v>5</v>
      </c>
      <c r="H124" s="5">
        <v>90</v>
      </c>
      <c r="I124" s="5">
        <f t="shared" si="7"/>
        <v>450</v>
      </c>
    </row>
    <row r="125" spans="1:9" x14ac:dyDescent="0.25">
      <c r="A125" t="s">
        <v>75</v>
      </c>
      <c r="B125" s="3">
        <v>46139</v>
      </c>
      <c r="C125" s="4">
        <f t="shared" si="6"/>
        <v>46113</v>
      </c>
      <c r="D125" t="s">
        <v>9</v>
      </c>
      <c r="E125" t="s">
        <v>122</v>
      </c>
      <c r="F125" t="s">
        <v>11</v>
      </c>
      <c r="G125">
        <v>4</v>
      </c>
      <c r="H125" s="5">
        <v>120</v>
      </c>
      <c r="I125" s="5">
        <f t="shared" si="7"/>
        <v>480</v>
      </c>
    </row>
    <row r="126" spans="1:9" x14ac:dyDescent="0.25">
      <c r="A126" t="s">
        <v>114</v>
      </c>
      <c r="B126" s="3">
        <v>46140</v>
      </c>
      <c r="C126" s="4">
        <f t="shared" si="6"/>
        <v>46113</v>
      </c>
      <c r="D126" t="s">
        <v>187</v>
      </c>
      <c r="E126" t="s">
        <v>49</v>
      </c>
      <c r="F126" t="s">
        <v>23</v>
      </c>
      <c r="G126">
        <v>1</v>
      </c>
      <c r="H126" s="5">
        <v>450</v>
      </c>
      <c r="I126" s="5">
        <f t="shared" si="7"/>
        <v>450</v>
      </c>
    </row>
    <row r="127" spans="1:9" x14ac:dyDescent="0.25">
      <c r="A127" t="s">
        <v>86</v>
      </c>
      <c r="B127" s="3">
        <v>46141</v>
      </c>
      <c r="C127" s="4">
        <f t="shared" si="6"/>
        <v>46113</v>
      </c>
      <c r="D127" t="s">
        <v>63</v>
      </c>
      <c r="E127" t="s">
        <v>49</v>
      </c>
      <c r="F127" t="s">
        <v>11</v>
      </c>
      <c r="G127">
        <v>1</v>
      </c>
      <c r="H127" s="5">
        <v>120</v>
      </c>
      <c r="I127" s="5">
        <f t="shared" si="7"/>
        <v>120</v>
      </c>
    </row>
    <row r="128" spans="1:9" x14ac:dyDescent="0.25">
      <c r="A128" t="s">
        <v>214</v>
      </c>
      <c r="B128" s="3">
        <v>46141</v>
      </c>
      <c r="C128" s="4">
        <f t="shared" si="6"/>
        <v>46113</v>
      </c>
      <c r="D128" t="s">
        <v>332</v>
      </c>
      <c r="E128" t="s">
        <v>97</v>
      </c>
      <c r="F128" t="s">
        <v>42</v>
      </c>
      <c r="G128">
        <v>5</v>
      </c>
      <c r="H128" s="5">
        <v>90</v>
      </c>
      <c r="I128" s="5">
        <f t="shared" si="7"/>
        <v>450</v>
      </c>
    </row>
    <row r="129" spans="1:9" x14ac:dyDescent="0.25">
      <c r="A129" t="s">
        <v>266</v>
      </c>
      <c r="B129" s="3">
        <v>46141</v>
      </c>
      <c r="C129" s="4">
        <f t="shared" si="6"/>
        <v>46113</v>
      </c>
      <c r="D129" t="s">
        <v>63</v>
      </c>
      <c r="E129" t="s">
        <v>49</v>
      </c>
      <c r="F129" t="s">
        <v>11</v>
      </c>
      <c r="G129">
        <v>1</v>
      </c>
      <c r="H129" s="5">
        <v>120</v>
      </c>
      <c r="I129" s="5">
        <f t="shared" si="7"/>
        <v>120</v>
      </c>
    </row>
    <row r="130" spans="1:9" x14ac:dyDescent="0.25">
      <c r="A130" t="s">
        <v>393</v>
      </c>
      <c r="B130" s="3">
        <v>46141</v>
      </c>
      <c r="C130" s="4">
        <f t="shared" ref="C130:C161" si="8">DATE(YEAR(B130),MONTH(B130),1)</f>
        <v>46113</v>
      </c>
      <c r="D130" t="s">
        <v>332</v>
      </c>
      <c r="E130" t="s">
        <v>97</v>
      </c>
      <c r="F130" t="s">
        <v>42</v>
      </c>
      <c r="G130">
        <v>1</v>
      </c>
      <c r="H130" s="5">
        <v>90</v>
      </c>
      <c r="I130" s="5">
        <f t="shared" ref="I130:I161" si="9">G130*H130</f>
        <v>90</v>
      </c>
    </row>
    <row r="131" spans="1:9" x14ac:dyDescent="0.25">
      <c r="A131" t="s">
        <v>314</v>
      </c>
      <c r="B131" s="3">
        <v>46145</v>
      </c>
      <c r="C131" s="4">
        <f t="shared" si="8"/>
        <v>46143</v>
      </c>
      <c r="D131" t="s">
        <v>113</v>
      </c>
      <c r="E131" t="s">
        <v>22</v>
      </c>
      <c r="F131" t="s">
        <v>18</v>
      </c>
      <c r="G131">
        <v>2</v>
      </c>
      <c r="H131" s="5">
        <v>340</v>
      </c>
      <c r="I131" s="5">
        <f t="shared" si="9"/>
        <v>680</v>
      </c>
    </row>
    <row r="132" spans="1:9" x14ac:dyDescent="0.25">
      <c r="A132" t="s">
        <v>44</v>
      </c>
      <c r="B132" s="3">
        <v>46148</v>
      </c>
      <c r="C132" s="4">
        <f t="shared" si="8"/>
        <v>46143</v>
      </c>
      <c r="D132" t="s">
        <v>141</v>
      </c>
      <c r="E132" t="s">
        <v>22</v>
      </c>
      <c r="F132" t="s">
        <v>23</v>
      </c>
      <c r="G132">
        <v>3</v>
      </c>
      <c r="H132" s="5">
        <v>450</v>
      </c>
      <c r="I132" s="5">
        <f t="shared" si="9"/>
        <v>1350</v>
      </c>
    </row>
    <row r="133" spans="1:9" x14ac:dyDescent="0.25">
      <c r="A133" t="s">
        <v>242</v>
      </c>
      <c r="B133" s="3">
        <v>46148</v>
      </c>
      <c r="C133" s="4">
        <f t="shared" si="8"/>
        <v>46143</v>
      </c>
      <c r="D133" t="s">
        <v>187</v>
      </c>
      <c r="E133" t="s">
        <v>49</v>
      </c>
      <c r="F133" t="s">
        <v>23</v>
      </c>
      <c r="G133">
        <v>2</v>
      </c>
      <c r="H133" s="5">
        <v>450</v>
      </c>
      <c r="I133" s="5">
        <f t="shared" si="9"/>
        <v>900</v>
      </c>
    </row>
    <row r="134" spans="1:9" x14ac:dyDescent="0.25">
      <c r="A134" t="s">
        <v>69</v>
      </c>
      <c r="B134" s="3">
        <v>46150</v>
      </c>
      <c r="C134" s="4">
        <f t="shared" si="8"/>
        <v>46143</v>
      </c>
      <c r="D134" t="s">
        <v>63</v>
      </c>
      <c r="E134" t="s">
        <v>49</v>
      </c>
      <c r="F134" t="s">
        <v>18</v>
      </c>
      <c r="G134">
        <v>4</v>
      </c>
      <c r="H134" s="5">
        <v>340</v>
      </c>
      <c r="I134" s="5">
        <f t="shared" si="9"/>
        <v>1360</v>
      </c>
    </row>
    <row r="135" spans="1:9" x14ac:dyDescent="0.25">
      <c r="A135" t="s">
        <v>146</v>
      </c>
      <c r="B135" s="3">
        <v>46151</v>
      </c>
      <c r="C135" s="4">
        <f t="shared" si="8"/>
        <v>46143</v>
      </c>
      <c r="D135" t="s">
        <v>187</v>
      </c>
      <c r="E135" t="s">
        <v>49</v>
      </c>
      <c r="F135" t="s">
        <v>42</v>
      </c>
      <c r="G135">
        <v>1</v>
      </c>
      <c r="H135" s="5">
        <v>90</v>
      </c>
      <c r="I135" s="5">
        <f t="shared" si="9"/>
        <v>90</v>
      </c>
    </row>
    <row r="136" spans="1:9" x14ac:dyDescent="0.25">
      <c r="A136" t="s">
        <v>282</v>
      </c>
      <c r="B136" s="3">
        <v>46151</v>
      </c>
      <c r="C136" s="4">
        <f t="shared" si="8"/>
        <v>46143</v>
      </c>
      <c r="D136" t="s">
        <v>113</v>
      </c>
      <c r="E136" t="s">
        <v>22</v>
      </c>
      <c r="F136" t="s">
        <v>11</v>
      </c>
      <c r="G136">
        <v>5</v>
      </c>
      <c r="H136" s="5">
        <v>120</v>
      </c>
      <c r="I136" s="5">
        <f t="shared" si="9"/>
        <v>600</v>
      </c>
    </row>
    <row r="137" spans="1:9" x14ac:dyDescent="0.25">
      <c r="A137" t="s">
        <v>111</v>
      </c>
      <c r="B137" s="3">
        <v>46152</v>
      </c>
      <c r="C137" s="4">
        <f t="shared" si="8"/>
        <v>46143</v>
      </c>
      <c r="D137" t="s">
        <v>113</v>
      </c>
      <c r="E137" t="s">
        <v>22</v>
      </c>
      <c r="F137" t="s">
        <v>42</v>
      </c>
      <c r="G137">
        <v>2</v>
      </c>
      <c r="H137" s="5">
        <v>90</v>
      </c>
      <c r="I137" s="5">
        <f t="shared" si="9"/>
        <v>180</v>
      </c>
    </row>
    <row r="138" spans="1:9" x14ac:dyDescent="0.25">
      <c r="A138" t="s">
        <v>188</v>
      </c>
      <c r="B138" s="3">
        <v>46153</v>
      </c>
      <c r="C138" s="4">
        <f t="shared" si="8"/>
        <v>46143</v>
      </c>
      <c r="D138" t="s">
        <v>121</v>
      </c>
      <c r="E138" t="s">
        <v>122</v>
      </c>
      <c r="F138" t="s">
        <v>42</v>
      </c>
      <c r="G138">
        <v>2</v>
      </c>
      <c r="H138" s="5">
        <v>90</v>
      </c>
      <c r="I138" s="5">
        <f t="shared" si="9"/>
        <v>180</v>
      </c>
    </row>
    <row r="139" spans="1:9" x14ac:dyDescent="0.25">
      <c r="A139" t="s">
        <v>14</v>
      </c>
      <c r="B139" s="3">
        <v>46154</v>
      </c>
      <c r="C139" s="4">
        <f t="shared" si="8"/>
        <v>46143</v>
      </c>
      <c r="D139" t="s">
        <v>141</v>
      </c>
      <c r="E139" t="s">
        <v>22</v>
      </c>
      <c r="F139" t="s">
        <v>18</v>
      </c>
      <c r="G139">
        <v>3</v>
      </c>
      <c r="H139" s="5">
        <v>340</v>
      </c>
      <c r="I139" s="5">
        <f t="shared" si="9"/>
        <v>1020</v>
      </c>
    </row>
    <row r="140" spans="1:9" x14ac:dyDescent="0.25">
      <c r="A140" t="s">
        <v>395</v>
      </c>
      <c r="B140" s="3">
        <v>46157</v>
      </c>
      <c r="C140" s="4">
        <f t="shared" si="8"/>
        <v>46143</v>
      </c>
      <c r="D140" t="s">
        <v>187</v>
      </c>
      <c r="E140" t="s">
        <v>49</v>
      </c>
      <c r="F140" t="s">
        <v>23</v>
      </c>
      <c r="G140">
        <v>4</v>
      </c>
      <c r="H140" s="5">
        <v>450</v>
      </c>
      <c r="I140" s="5">
        <f t="shared" si="9"/>
        <v>1800</v>
      </c>
    </row>
    <row r="141" spans="1:9" x14ac:dyDescent="0.25">
      <c r="A141" t="s">
        <v>216</v>
      </c>
      <c r="B141" s="3">
        <v>46159</v>
      </c>
      <c r="C141" s="4">
        <f t="shared" si="8"/>
        <v>46143</v>
      </c>
      <c r="D141" t="s">
        <v>121</v>
      </c>
      <c r="E141" t="s">
        <v>122</v>
      </c>
      <c r="F141" t="s">
        <v>23</v>
      </c>
      <c r="G141">
        <v>1</v>
      </c>
      <c r="H141" s="5">
        <v>450</v>
      </c>
      <c r="I141" s="5">
        <f t="shared" si="9"/>
        <v>450</v>
      </c>
    </row>
    <row r="142" spans="1:9" x14ac:dyDescent="0.25">
      <c r="A142" t="s">
        <v>177</v>
      </c>
      <c r="B142" s="3">
        <v>46163</v>
      </c>
      <c r="C142" s="4">
        <f t="shared" si="8"/>
        <v>46143</v>
      </c>
      <c r="D142" t="s">
        <v>113</v>
      </c>
      <c r="E142" t="s">
        <v>22</v>
      </c>
      <c r="F142" t="s">
        <v>23</v>
      </c>
      <c r="G142">
        <v>5</v>
      </c>
      <c r="H142" s="5">
        <v>450</v>
      </c>
      <c r="I142" s="5">
        <f t="shared" si="9"/>
        <v>2250</v>
      </c>
    </row>
    <row r="143" spans="1:9" x14ac:dyDescent="0.25">
      <c r="A143" t="s">
        <v>235</v>
      </c>
      <c r="B143" s="3">
        <v>46166</v>
      </c>
      <c r="C143" s="4">
        <f t="shared" si="8"/>
        <v>46143</v>
      </c>
      <c r="D143" t="s">
        <v>332</v>
      </c>
      <c r="E143" t="s">
        <v>97</v>
      </c>
      <c r="F143" t="s">
        <v>11</v>
      </c>
      <c r="G143">
        <v>3</v>
      </c>
      <c r="H143" s="5">
        <v>120</v>
      </c>
      <c r="I143" s="5">
        <f t="shared" si="9"/>
        <v>360</v>
      </c>
    </row>
    <row r="144" spans="1:9" x14ac:dyDescent="0.25">
      <c r="A144" t="s">
        <v>280</v>
      </c>
      <c r="B144" s="3">
        <v>46167</v>
      </c>
      <c r="C144" s="4">
        <f t="shared" si="8"/>
        <v>46143</v>
      </c>
      <c r="D144" t="s">
        <v>9</v>
      </c>
      <c r="E144" t="s">
        <v>122</v>
      </c>
      <c r="F144" t="s">
        <v>11</v>
      </c>
      <c r="G144">
        <v>5</v>
      </c>
      <c r="H144" s="5">
        <v>120</v>
      </c>
      <c r="I144" s="5">
        <f t="shared" si="9"/>
        <v>600</v>
      </c>
    </row>
    <row r="145" spans="1:9" x14ac:dyDescent="0.25">
      <c r="A145" t="s">
        <v>412</v>
      </c>
      <c r="B145" s="3">
        <v>46169</v>
      </c>
      <c r="C145" s="4">
        <f t="shared" si="8"/>
        <v>46143</v>
      </c>
      <c r="D145" t="s">
        <v>332</v>
      </c>
      <c r="E145" t="s">
        <v>97</v>
      </c>
      <c r="F145" t="s">
        <v>11</v>
      </c>
      <c r="G145">
        <v>4</v>
      </c>
      <c r="H145" s="5">
        <v>120</v>
      </c>
      <c r="I145" s="5">
        <f t="shared" si="9"/>
        <v>480</v>
      </c>
    </row>
    <row r="146" spans="1:9" x14ac:dyDescent="0.25">
      <c r="A146" t="s">
        <v>31</v>
      </c>
      <c r="B146" s="3">
        <v>46170</v>
      </c>
      <c r="C146" s="4">
        <f t="shared" si="8"/>
        <v>46143</v>
      </c>
      <c r="D146" t="s">
        <v>187</v>
      </c>
      <c r="E146" t="s">
        <v>49</v>
      </c>
      <c r="F146" t="s">
        <v>11</v>
      </c>
      <c r="G146">
        <v>3</v>
      </c>
      <c r="H146" s="5">
        <v>120</v>
      </c>
      <c r="I146" s="5">
        <f t="shared" si="9"/>
        <v>360</v>
      </c>
    </row>
    <row r="147" spans="1:9" x14ac:dyDescent="0.25">
      <c r="A147" t="s">
        <v>367</v>
      </c>
      <c r="B147" s="3">
        <v>46170</v>
      </c>
      <c r="C147" s="4">
        <f t="shared" si="8"/>
        <v>46143</v>
      </c>
      <c r="D147" t="s">
        <v>187</v>
      </c>
      <c r="E147" t="s">
        <v>49</v>
      </c>
      <c r="F147" t="s">
        <v>11</v>
      </c>
      <c r="G147">
        <v>5</v>
      </c>
      <c r="H147" s="5">
        <v>120</v>
      </c>
      <c r="I147" s="5">
        <f t="shared" si="9"/>
        <v>600</v>
      </c>
    </row>
    <row r="148" spans="1:9" x14ac:dyDescent="0.25">
      <c r="A148" t="s">
        <v>387</v>
      </c>
      <c r="B148" s="3">
        <v>46170</v>
      </c>
      <c r="C148" s="4">
        <f t="shared" si="8"/>
        <v>46143</v>
      </c>
      <c r="D148" t="s">
        <v>332</v>
      </c>
      <c r="E148" t="s">
        <v>97</v>
      </c>
      <c r="F148" t="s">
        <v>11</v>
      </c>
      <c r="G148">
        <v>1</v>
      </c>
      <c r="H148" s="5">
        <v>120</v>
      </c>
      <c r="I148" s="5">
        <f t="shared" si="9"/>
        <v>120</v>
      </c>
    </row>
    <row r="149" spans="1:9" x14ac:dyDescent="0.25">
      <c r="A149" t="s">
        <v>286</v>
      </c>
      <c r="B149" s="3">
        <v>46171</v>
      </c>
      <c r="C149" s="4">
        <f t="shared" si="8"/>
        <v>46143</v>
      </c>
      <c r="D149" t="s">
        <v>141</v>
      </c>
      <c r="E149" t="s">
        <v>22</v>
      </c>
      <c r="F149" t="s">
        <v>18</v>
      </c>
      <c r="G149">
        <v>2</v>
      </c>
      <c r="H149" s="5">
        <v>340</v>
      </c>
      <c r="I149" s="5">
        <f t="shared" si="9"/>
        <v>680</v>
      </c>
    </row>
    <row r="150" spans="1:9" x14ac:dyDescent="0.25">
      <c r="A150" t="s">
        <v>267</v>
      </c>
      <c r="B150" s="3">
        <v>46172</v>
      </c>
      <c r="C150" s="4">
        <f t="shared" si="8"/>
        <v>46143</v>
      </c>
      <c r="D150" t="s">
        <v>141</v>
      </c>
      <c r="E150" t="s">
        <v>22</v>
      </c>
      <c r="F150" t="s">
        <v>23</v>
      </c>
      <c r="G150">
        <v>5</v>
      </c>
      <c r="H150" s="5">
        <v>450</v>
      </c>
      <c r="I150" s="5">
        <f t="shared" si="9"/>
        <v>2250</v>
      </c>
    </row>
    <row r="151" spans="1:9" x14ac:dyDescent="0.25">
      <c r="A151" t="s">
        <v>385</v>
      </c>
      <c r="B151" s="3">
        <v>46172</v>
      </c>
      <c r="C151" s="4">
        <f t="shared" si="8"/>
        <v>46143</v>
      </c>
      <c r="D151" t="s">
        <v>9</v>
      </c>
      <c r="E151" t="s">
        <v>122</v>
      </c>
      <c r="F151" t="s">
        <v>18</v>
      </c>
      <c r="G151">
        <v>4</v>
      </c>
      <c r="H151" s="5">
        <v>340</v>
      </c>
      <c r="I151" s="5">
        <f t="shared" si="9"/>
        <v>1360</v>
      </c>
    </row>
    <row r="152" spans="1:9" x14ac:dyDescent="0.25">
      <c r="A152" t="s">
        <v>83</v>
      </c>
      <c r="B152" s="3">
        <v>46173</v>
      </c>
      <c r="C152" s="4">
        <f t="shared" si="8"/>
        <v>46143</v>
      </c>
      <c r="D152" t="s">
        <v>332</v>
      </c>
      <c r="E152" t="s">
        <v>97</v>
      </c>
      <c r="F152" t="s">
        <v>11</v>
      </c>
      <c r="G152">
        <v>1</v>
      </c>
      <c r="H152" s="5">
        <v>120</v>
      </c>
      <c r="I152" s="5">
        <f t="shared" si="9"/>
        <v>120</v>
      </c>
    </row>
    <row r="153" spans="1:9" x14ac:dyDescent="0.25">
      <c r="A153" t="s">
        <v>309</v>
      </c>
      <c r="B153" s="3">
        <v>46173</v>
      </c>
      <c r="C153" s="4">
        <f t="shared" si="8"/>
        <v>46143</v>
      </c>
      <c r="D153" t="s">
        <v>141</v>
      </c>
      <c r="E153" t="s">
        <v>22</v>
      </c>
      <c r="F153" t="s">
        <v>18</v>
      </c>
      <c r="G153">
        <v>5</v>
      </c>
      <c r="H153" s="5">
        <v>340</v>
      </c>
      <c r="I153" s="5">
        <f t="shared" si="9"/>
        <v>1700</v>
      </c>
    </row>
    <row r="154" spans="1:9" x14ac:dyDescent="0.25">
      <c r="A154" t="s">
        <v>381</v>
      </c>
      <c r="B154" s="3">
        <v>46175</v>
      </c>
      <c r="C154" s="4">
        <f t="shared" si="8"/>
        <v>46174</v>
      </c>
      <c r="D154" t="s">
        <v>9</v>
      </c>
      <c r="E154" t="s">
        <v>122</v>
      </c>
      <c r="F154" t="s">
        <v>42</v>
      </c>
      <c r="G154">
        <v>1</v>
      </c>
      <c r="H154" s="5">
        <v>90</v>
      </c>
      <c r="I154" s="5">
        <f t="shared" si="9"/>
        <v>90</v>
      </c>
    </row>
    <row r="155" spans="1:9" x14ac:dyDescent="0.25">
      <c r="A155" t="s">
        <v>290</v>
      </c>
      <c r="B155" s="3">
        <v>46176</v>
      </c>
      <c r="C155" s="4">
        <f t="shared" si="8"/>
        <v>46174</v>
      </c>
      <c r="D155" t="s">
        <v>113</v>
      </c>
      <c r="E155" t="s">
        <v>22</v>
      </c>
      <c r="F155" t="s">
        <v>18</v>
      </c>
      <c r="G155">
        <v>2</v>
      </c>
      <c r="H155" s="5">
        <v>340</v>
      </c>
      <c r="I155" s="5">
        <f t="shared" si="9"/>
        <v>680</v>
      </c>
    </row>
    <row r="156" spans="1:9" x14ac:dyDescent="0.25">
      <c r="A156" t="s">
        <v>149</v>
      </c>
      <c r="B156" s="3">
        <v>46182</v>
      </c>
      <c r="C156" s="4">
        <f t="shared" si="8"/>
        <v>46174</v>
      </c>
      <c r="D156" t="s">
        <v>187</v>
      </c>
      <c r="E156" t="s">
        <v>49</v>
      </c>
      <c r="F156" t="s">
        <v>18</v>
      </c>
      <c r="G156">
        <v>3</v>
      </c>
      <c r="H156" s="5">
        <v>340</v>
      </c>
      <c r="I156" s="5">
        <f t="shared" si="9"/>
        <v>1020</v>
      </c>
    </row>
    <row r="157" spans="1:9" x14ac:dyDescent="0.25">
      <c r="A157" t="s">
        <v>208</v>
      </c>
      <c r="B157" s="3">
        <v>46182</v>
      </c>
      <c r="C157" s="4">
        <f t="shared" si="8"/>
        <v>46174</v>
      </c>
      <c r="D157" t="s">
        <v>63</v>
      </c>
      <c r="E157" t="s">
        <v>49</v>
      </c>
      <c r="F157" t="s">
        <v>18</v>
      </c>
      <c r="G157">
        <v>2</v>
      </c>
      <c r="H157" s="5">
        <v>340</v>
      </c>
      <c r="I157" s="5">
        <f t="shared" si="9"/>
        <v>680</v>
      </c>
    </row>
    <row r="158" spans="1:9" x14ac:dyDescent="0.25">
      <c r="A158" t="s">
        <v>47</v>
      </c>
      <c r="B158" s="3">
        <v>46183</v>
      </c>
      <c r="C158" s="4">
        <f t="shared" si="8"/>
        <v>46174</v>
      </c>
      <c r="D158" t="s">
        <v>187</v>
      </c>
      <c r="E158" t="s">
        <v>49</v>
      </c>
      <c r="F158" t="s">
        <v>42</v>
      </c>
      <c r="G158">
        <v>3</v>
      </c>
      <c r="H158" s="5">
        <v>90</v>
      </c>
      <c r="I158" s="5">
        <f t="shared" si="9"/>
        <v>270</v>
      </c>
    </row>
    <row r="159" spans="1:9" x14ac:dyDescent="0.25">
      <c r="A159" t="s">
        <v>162</v>
      </c>
      <c r="B159" s="3">
        <v>46184</v>
      </c>
      <c r="C159" s="4">
        <f t="shared" si="8"/>
        <v>46174</v>
      </c>
      <c r="D159" t="s">
        <v>200</v>
      </c>
      <c r="E159" t="s">
        <v>97</v>
      </c>
      <c r="F159" t="s">
        <v>23</v>
      </c>
      <c r="G159">
        <v>1</v>
      </c>
      <c r="H159" s="5">
        <v>450</v>
      </c>
      <c r="I159" s="5">
        <f t="shared" si="9"/>
        <v>450</v>
      </c>
    </row>
    <row r="160" spans="1:9" x14ac:dyDescent="0.25">
      <c r="A160" t="s">
        <v>180</v>
      </c>
      <c r="B160" s="3">
        <v>46184</v>
      </c>
      <c r="C160" s="4">
        <f t="shared" si="8"/>
        <v>46174</v>
      </c>
      <c r="D160" t="s">
        <v>200</v>
      </c>
      <c r="E160" t="s">
        <v>97</v>
      </c>
      <c r="F160" t="s">
        <v>18</v>
      </c>
      <c r="G160">
        <v>5</v>
      </c>
      <c r="H160" s="5">
        <v>340</v>
      </c>
      <c r="I160" s="5">
        <f t="shared" si="9"/>
        <v>1700</v>
      </c>
    </row>
    <row r="161" spans="1:9" x14ac:dyDescent="0.25">
      <c r="A161" t="s">
        <v>210</v>
      </c>
      <c r="B161" s="3">
        <v>46184</v>
      </c>
      <c r="C161" s="4">
        <f t="shared" si="8"/>
        <v>46174</v>
      </c>
      <c r="D161" t="s">
        <v>200</v>
      </c>
      <c r="E161" t="s">
        <v>97</v>
      </c>
      <c r="F161" t="s">
        <v>23</v>
      </c>
      <c r="G161">
        <v>1</v>
      </c>
      <c r="H161" s="5">
        <v>450</v>
      </c>
      <c r="I161" s="5">
        <f t="shared" si="9"/>
        <v>450</v>
      </c>
    </row>
    <row r="162" spans="1:9" x14ac:dyDescent="0.25">
      <c r="A162" t="s">
        <v>275</v>
      </c>
      <c r="B162" s="3">
        <v>46186</v>
      </c>
      <c r="C162" s="4">
        <f t="shared" ref="C162:C193" si="10">DATE(YEAR(B162),MONTH(B162),1)</f>
        <v>46174</v>
      </c>
      <c r="D162" t="s">
        <v>187</v>
      </c>
      <c r="E162" t="s">
        <v>49</v>
      </c>
      <c r="F162" t="s">
        <v>42</v>
      </c>
      <c r="G162">
        <v>4</v>
      </c>
      <c r="H162" s="5">
        <v>90</v>
      </c>
      <c r="I162" s="5">
        <f t="shared" ref="I162:I193" si="11">G162*H162</f>
        <v>360</v>
      </c>
    </row>
    <row r="163" spans="1:9" x14ac:dyDescent="0.25">
      <c r="A163" t="s">
        <v>262</v>
      </c>
      <c r="B163" s="3">
        <v>46189</v>
      </c>
      <c r="C163" s="4">
        <f t="shared" si="10"/>
        <v>46174</v>
      </c>
      <c r="D163" t="s">
        <v>200</v>
      </c>
      <c r="E163" t="s">
        <v>97</v>
      </c>
      <c r="F163" t="s">
        <v>42</v>
      </c>
      <c r="G163">
        <v>3</v>
      </c>
      <c r="H163" s="5">
        <v>90</v>
      </c>
      <c r="I163" s="5">
        <f t="shared" si="11"/>
        <v>270</v>
      </c>
    </row>
    <row r="164" spans="1:9" x14ac:dyDescent="0.25">
      <c r="A164" t="s">
        <v>288</v>
      </c>
      <c r="B164" s="3">
        <v>46189</v>
      </c>
      <c r="C164" s="4">
        <f t="shared" si="10"/>
        <v>46174</v>
      </c>
      <c r="D164" t="s">
        <v>187</v>
      </c>
      <c r="E164" t="s">
        <v>49</v>
      </c>
      <c r="F164" t="s">
        <v>23</v>
      </c>
      <c r="G164">
        <v>1</v>
      </c>
      <c r="H164" s="5">
        <v>450</v>
      </c>
      <c r="I164" s="5">
        <f t="shared" si="11"/>
        <v>450</v>
      </c>
    </row>
    <row r="165" spans="1:9" x14ac:dyDescent="0.25">
      <c r="A165" t="s">
        <v>132</v>
      </c>
      <c r="B165" s="3">
        <v>46190</v>
      </c>
      <c r="C165" s="4">
        <f t="shared" si="10"/>
        <v>46174</v>
      </c>
      <c r="D165" t="s">
        <v>200</v>
      </c>
      <c r="E165" t="s">
        <v>97</v>
      </c>
      <c r="F165" t="s">
        <v>11</v>
      </c>
      <c r="G165">
        <v>5</v>
      </c>
      <c r="H165" s="5">
        <v>120</v>
      </c>
      <c r="I165" s="5">
        <f t="shared" si="11"/>
        <v>600</v>
      </c>
    </row>
    <row r="166" spans="1:9" x14ac:dyDescent="0.25">
      <c r="A166" t="s">
        <v>326</v>
      </c>
      <c r="B166" s="3">
        <v>46190</v>
      </c>
      <c r="C166" s="4">
        <f t="shared" si="10"/>
        <v>46174</v>
      </c>
      <c r="D166" t="s">
        <v>63</v>
      </c>
      <c r="E166" t="s">
        <v>49</v>
      </c>
      <c r="F166" t="s">
        <v>11</v>
      </c>
      <c r="G166">
        <v>2</v>
      </c>
      <c r="H166" s="5">
        <v>120</v>
      </c>
      <c r="I166" s="5">
        <f t="shared" si="11"/>
        <v>240</v>
      </c>
    </row>
    <row r="167" spans="1:9" x14ac:dyDescent="0.25">
      <c r="A167" t="s">
        <v>171</v>
      </c>
      <c r="B167" s="3">
        <v>46190</v>
      </c>
      <c r="C167" s="4">
        <f t="shared" si="10"/>
        <v>46174</v>
      </c>
      <c r="D167" t="s">
        <v>9</v>
      </c>
      <c r="E167" t="s">
        <v>122</v>
      </c>
      <c r="F167" t="s">
        <v>18</v>
      </c>
      <c r="G167">
        <v>1</v>
      </c>
      <c r="H167" s="5">
        <v>340</v>
      </c>
      <c r="I167" s="5">
        <f t="shared" si="11"/>
        <v>340</v>
      </c>
    </row>
    <row r="168" spans="1:9" x14ac:dyDescent="0.25">
      <c r="A168" t="s">
        <v>157</v>
      </c>
      <c r="B168" s="3">
        <v>46193</v>
      </c>
      <c r="C168" s="4">
        <f t="shared" si="10"/>
        <v>46174</v>
      </c>
      <c r="D168" t="s">
        <v>63</v>
      </c>
      <c r="E168" t="s">
        <v>49</v>
      </c>
      <c r="F168" t="s">
        <v>11</v>
      </c>
      <c r="G168">
        <v>4</v>
      </c>
      <c r="H168" s="5">
        <v>120</v>
      </c>
      <c r="I168" s="5">
        <f t="shared" si="11"/>
        <v>480</v>
      </c>
    </row>
    <row r="169" spans="1:9" x14ac:dyDescent="0.25">
      <c r="A169" t="s">
        <v>279</v>
      </c>
      <c r="B169" s="3">
        <v>46193</v>
      </c>
      <c r="C169" s="4">
        <f t="shared" si="10"/>
        <v>46174</v>
      </c>
      <c r="D169" t="s">
        <v>113</v>
      </c>
      <c r="E169" t="s">
        <v>22</v>
      </c>
      <c r="F169" t="s">
        <v>23</v>
      </c>
      <c r="G169">
        <v>5</v>
      </c>
      <c r="H169" s="5">
        <v>450</v>
      </c>
      <c r="I169" s="5">
        <f t="shared" si="11"/>
        <v>2250</v>
      </c>
    </row>
    <row r="170" spans="1:9" x14ac:dyDescent="0.25">
      <c r="A170" t="s">
        <v>229</v>
      </c>
      <c r="B170" s="3">
        <v>46194</v>
      </c>
      <c r="C170" s="4">
        <f t="shared" si="10"/>
        <v>46174</v>
      </c>
      <c r="D170" t="s">
        <v>9</v>
      </c>
      <c r="E170" t="s">
        <v>122</v>
      </c>
      <c r="F170" t="s">
        <v>11</v>
      </c>
      <c r="G170">
        <v>1</v>
      </c>
      <c r="H170" s="5">
        <v>120</v>
      </c>
      <c r="I170" s="5">
        <f t="shared" si="11"/>
        <v>120</v>
      </c>
    </row>
    <row r="171" spans="1:9" x14ac:dyDescent="0.25">
      <c r="A171" t="s">
        <v>333</v>
      </c>
      <c r="B171" s="3">
        <v>46194</v>
      </c>
      <c r="C171" s="4">
        <f t="shared" si="10"/>
        <v>46174</v>
      </c>
      <c r="D171" t="s">
        <v>141</v>
      </c>
      <c r="E171" t="s">
        <v>22</v>
      </c>
      <c r="F171" t="s">
        <v>42</v>
      </c>
      <c r="G171">
        <v>1</v>
      </c>
      <c r="H171" s="5">
        <v>90</v>
      </c>
      <c r="I171" s="5">
        <f t="shared" si="11"/>
        <v>90</v>
      </c>
    </row>
    <row r="172" spans="1:9" x14ac:dyDescent="0.25">
      <c r="A172" t="s">
        <v>408</v>
      </c>
      <c r="B172" s="3">
        <v>46195</v>
      </c>
      <c r="C172" s="4">
        <f t="shared" si="10"/>
        <v>46174</v>
      </c>
      <c r="D172" t="s">
        <v>113</v>
      </c>
      <c r="E172" t="s">
        <v>22</v>
      </c>
      <c r="F172" t="s">
        <v>23</v>
      </c>
      <c r="G172">
        <v>5</v>
      </c>
      <c r="H172" s="5">
        <v>450</v>
      </c>
      <c r="I172" s="5">
        <f t="shared" si="11"/>
        <v>2250</v>
      </c>
    </row>
    <row r="173" spans="1:9" x14ac:dyDescent="0.25">
      <c r="A173" t="s">
        <v>101</v>
      </c>
      <c r="B173" s="3">
        <v>46196</v>
      </c>
      <c r="C173" s="4">
        <f t="shared" si="10"/>
        <v>46174</v>
      </c>
      <c r="D173" t="s">
        <v>63</v>
      </c>
      <c r="E173" t="s">
        <v>49</v>
      </c>
      <c r="F173" t="s">
        <v>23</v>
      </c>
      <c r="G173">
        <v>2</v>
      </c>
      <c r="H173" s="5">
        <v>450</v>
      </c>
      <c r="I173" s="5">
        <f t="shared" si="11"/>
        <v>900</v>
      </c>
    </row>
    <row r="174" spans="1:9" x14ac:dyDescent="0.25">
      <c r="A174" t="s">
        <v>322</v>
      </c>
      <c r="B174" s="3">
        <v>46196</v>
      </c>
      <c r="C174" s="4">
        <f t="shared" si="10"/>
        <v>46174</v>
      </c>
      <c r="D174" t="s">
        <v>121</v>
      </c>
      <c r="E174" t="s">
        <v>122</v>
      </c>
      <c r="F174" t="s">
        <v>23</v>
      </c>
      <c r="G174">
        <v>2</v>
      </c>
      <c r="H174" s="5">
        <v>450</v>
      </c>
      <c r="I174" s="5">
        <f t="shared" si="11"/>
        <v>900</v>
      </c>
    </row>
    <row r="175" spans="1:9" x14ac:dyDescent="0.25">
      <c r="A175" t="s">
        <v>415</v>
      </c>
      <c r="B175" s="3">
        <v>46196</v>
      </c>
      <c r="C175" s="4">
        <f t="shared" si="10"/>
        <v>46174</v>
      </c>
      <c r="D175" t="s">
        <v>200</v>
      </c>
      <c r="E175" t="s">
        <v>97</v>
      </c>
      <c r="F175" t="s">
        <v>42</v>
      </c>
      <c r="G175">
        <v>4</v>
      </c>
      <c r="H175" s="5">
        <v>90</v>
      </c>
      <c r="I175" s="5">
        <f t="shared" si="11"/>
        <v>360</v>
      </c>
    </row>
    <row r="176" spans="1:9" x14ac:dyDescent="0.25">
      <c r="A176" t="s">
        <v>198</v>
      </c>
      <c r="B176" s="3">
        <v>46197</v>
      </c>
      <c r="C176" s="4">
        <f t="shared" si="10"/>
        <v>46174</v>
      </c>
      <c r="D176" t="s">
        <v>200</v>
      </c>
      <c r="E176" t="s">
        <v>97</v>
      </c>
      <c r="F176" t="s">
        <v>23</v>
      </c>
      <c r="G176">
        <v>2</v>
      </c>
      <c r="H176" s="5">
        <v>450</v>
      </c>
      <c r="I176" s="5">
        <f t="shared" si="11"/>
        <v>900</v>
      </c>
    </row>
    <row r="177" spans="1:9" x14ac:dyDescent="0.25">
      <c r="A177" t="s">
        <v>380</v>
      </c>
      <c r="B177" s="3">
        <v>46197</v>
      </c>
      <c r="C177" s="4">
        <f t="shared" si="10"/>
        <v>46174</v>
      </c>
      <c r="D177" t="s">
        <v>332</v>
      </c>
      <c r="E177" t="s">
        <v>97</v>
      </c>
      <c r="F177" t="s">
        <v>23</v>
      </c>
      <c r="G177">
        <v>2</v>
      </c>
      <c r="H177" s="5">
        <v>450</v>
      </c>
      <c r="I177" s="5">
        <f t="shared" si="11"/>
        <v>900</v>
      </c>
    </row>
    <row r="178" spans="1:9" x14ac:dyDescent="0.25">
      <c r="A178" t="s">
        <v>302</v>
      </c>
      <c r="B178" s="3">
        <v>46200</v>
      </c>
      <c r="C178" s="4">
        <f t="shared" si="10"/>
        <v>46174</v>
      </c>
      <c r="D178" t="s">
        <v>332</v>
      </c>
      <c r="E178" t="s">
        <v>97</v>
      </c>
      <c r="F178" t="s">
        <v>42</v>
      </c>
      <c r="G178">
        <v>4</v>
      </c>
      <c r="H178" s="5">
        <v>90</v>
      </c>
      <c r="I178" s="5">
        <f t="shared" si="11"/>
        <v>360</v>
      </c>
    </row>
    <row r="179" spans="1:9" x14ac:dyDescent="0.25">
      <c r="A179" t="s">
        <v>143</v>
      </c>
      <c r="B179" s="3">
        <v>46201</v>
      </c>
      <c r="C179" s="4">
        <f t="shared" si="10"/>
        <v>46174</v>
      </c>
      <c r="D179" t="s">
        <v>141</v>
      </c>
      <c r="E179" t="s">
        <v>22</v>
      </c>
      <c r="F179" t="s">
        <v>23</v>
      </c>
      <c r="G179">
        <v>4</v>
      </c>
      <c r="H179" s="5">
        <v>450</v>
      </c>
      <c r="I179" s="5">
        <f t="shared" si="11"/>
        <v>1800</v>
      </c>
    </row>
    <row r="180" spans="1:9" x14ac:dyDescent="0.25">
      <c r="A180" t="s">
        <v>123</v>
      </c>
      <c r="B180" s="3">
        <v>46202</v>
      </c>
      <c r="C180" s="4">
        <f t="shared" si="10"/>
        <v>46174</v>
      </c>
      <c r="D180" t="s">
        <v>332</v>
      </c>
      <c r="E180" t="s">
        <v>97</v>
      </c>
      <c r="F180" t="s">
        <v>11</v>
      </c>
      <c r="G180">
        <v>1</v>
      </c>
      <c r="H180" s="5">
        <v>120</v>
      </c>
      <c r="I180" s="5">
        <f t="shared" si="11"/>
        <v>120</v>
      </c>
    </row>
    <row r="181" spans="1:9" x14ac:dyDescent="0.25">
      <c r="A181" t="s">
        <v>201</v>
      </c>
      <c r="B181" s="3">
        <v>46203</v>
      </c>
      <c r="C181" s="4">
        <f t="shared" si="10"/>
        <v>46174</v>
      </c>
      <c r="D181" t="s">
        <v>113</v>
      </c>
      <c r="E181" t="s">
        <v>22</v>
      </c>
      <c r="F181" t="s">
        <v>42</v>
      </c>
      <c r="G181">
        <v>2</v>
      </c>
      <c r="H181" s="5">
        <v>90</v>
      </c>
      <c r="I181" s="5">
        <f t="shared" si="11"/>
        <v>180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52FE8-1D37-43E9-9E38-856813BAAA63}">
  <dimension ref="A1:G195"/>
  <sheetViews>
    <sheetView workbookViewId="0"/>
  </sheetViews>
  <sheetFormatPr defaultRowHeight="13.8" x14ac:dyDescent="0.25"/>
  <cols>
    <col min="1" max="1" width="8.19921875" bestFit="1" customWidth="1"/>
    <col min="2" max="2" width="11.296875" bestFit="1" customWidth="1"/>
    <col min="3" max="3" width="19" bestFit="1" customWidth="1"/>
    <col min="4" max="4" width="7.8984375" bestFit="1" customWidth="1"/>
    <col min="5" max="5" width="15" bestFit="1" customWidth="1"/>
    <col min="6" max="6" width="6.19921875" bestFit="1" customWidth="1"/>
    <col min="7" max="7" width="9.3984375" bestFit="1" customWidth="1"/>
  </cols>
  <sheetData>
    <row r="1" spans="1: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7" x14ac:dyDescent="0.25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12</v>
      </c>
      <c r="G3" s="1" t="s">
        <v>19</v>
      </c>
    </row>
    <row r="4" spans="1:7" x14ac:dyDescent="0.25">
      <c r="A4" s="1" t="s">
        <v>20</v>
      </c>
      <c r="B4" s="1" t="s">
        <v>21</v>
      </c>
      <c r="C4" s="1" t="s">
        <v>16</v>
      </c>
      <c r="D4" s="1" t="s">
        <v>22</v>
      </c>
      <c r="E4" s="1" t="s">
        <v>23</v>
      </c>
      <c r="F4" s="1" t="s">
        <v>24</v>
      </c>
      <c r="G4" s="1" t="s">
        <v>25</v>
      </c>
    </row>
    <row r="5" spans="1:7" x14ac:dyDescent="0.25">
      <c r="A5" s="1" t="s">
        <v>26</v>
      </c>
      <c r="B5" s="1" t="s">
        <v>27</v>
      </c>
      <c r="C5" s="1" t="s">
        <v>28</v>
      </c>
      <c r="D5" s="1" t="s">
        <v>29</v>
      </c>
      <c r="E5" s="1" t="s">
        <v>18</v>
      </c>
      <c r="F5" s="1" t="s">
        <v>30</v>
      </c>
      <c r="G5" s="1" t="s">
        <v>19</v>
      </c>
    </row>
    <row r="6" spans="1:7" x14ac:dyDescent="0.25">
      <c r="A6" s="1" t="s">
        <v>31</v>
      </c>
      <c r="B6" s="1" t="s">
        <v>32</v>
      </c>
      <c r="C6" s="1" t="s">
        <v>33</v>
      </c>
      <c r="D6" s="1" t="s">
        <v>29</v>
      </c>
      <c r="E6" s="1" t="s">
        <v>11</v>
      </c>
      <c r="F6" s="1" t="s">
        <v>12</v>
      </c>
      <c r="G6" s="1" t="s">
        <v>13</v>
      </c>
    </row>
    <row r="7" spans="1:7" x14ac:dyDescent="0.25">
      <c r="A7" s="1" t="s">
        <v>34</v>
      </c>
      <c r="B7" s="1" t="s">
        <v>35</v>
      </c>
      <c r="C7" s="1" t="s">
        <v>36</v>
      </c>
      <c r="D7" s="1" t="s">
        <v>37</v>
      </c>
      <c r="E7" s="1" t="s">
        <v>11</v>
      </c>
      <c r="F7" s="1" t="s">
        <v>38</v>
      </c>
      <c r="G7" s="1" t="s">
        <v>13</v>
      </c>
    </row>
    <row r="8" spans="1:7" x14ac:dyDescent="0.25">
      <c r="A8" s="1" t="s">
        <v>39</v>
      </c>
      <c r="B8" s="1" t="s">
        <v>40</v>
      </c>
      <c r="C8" s="1" t="s">
        <v>41</v>
      </c>
      <c r="D8" s="1" t="s">
        <v>17</v>
      </c>
      <c r="E8" s="1" t="s">
        <v>42</v>
      </c>
      <c r="F8" s="1" t="s">
        <v>38</v>
      </c>
      <c r="G8" s="1" t="s">
        <v>43</v>
      </c>
    </row>
    <row r="9" spans="1:7" x14ac:dyDescent="0.25">
      <c r="A9" s="1" t="s">
        <v>44</v>
      </c>
      <c r="B9" s="1" t="s">
        <v>45</v>
      </c>
      <c r="C9" s="1" t="s">
        <v>46</v>
      </c>
      <c r="D9" s="1" t="s">
        <v>22</v>
      </c>
      <c r="E9" s="1" t="s">
        <v>23</v>
      </c>
      <c r="F9" s="1" t="s">
        <v>12</v>
      </c>
      <c r="G9" s="1" t="s">
        <v>25</v>
      </c>
    </row>
    <row r="10" spans="1:7" x14ac:dyDescent="0.25">
      <c r="A10" s="1" t="s">
        <v>47</v>
      </c>
      <c r="B10" s="1" t="s">
        <v>48</v>
      </c>
      <c r="C10" s="1" t="s">
        <v>28</v>
      </c>
      <c r="D10" s="1" t="s">
        <v>49</v>
      </c>
      <c r="E10" s="1" t="s">
        <v>42</v>
      </c>
      <c r="F10" s="1" t="s">
        <v>50</v>
      </c>
      <c r="G10" s="1" t="s">
        <v>43</v>
      </c>
    </row>
    <row r="11" spans="1:7" x14ac:dyDescent="0.25">
      <c r="A11" s="1" t="s">
        <v>51</v>
      </c>
      <c r="B11" s="1" t="s">
        <v>52</v>
      </c>
      <c r="C11" s="1" t="s">
        <v>53</v>
      </c>
      <c r="D11" s="1" t="s">
        <v>17</v>
      </c>
      <c r="E11" s="1" t="s">
        <v>11</v>
      </c>
      <c r="F11" s="1" t="s">
        <v>12</v>
      </c>
      <c r="G11" s="1" t="s">
        <v>13</v>
      </c>
    </row>
    <row r="12" spans="1:7" x14ac:dyDescent="0.25">
      <c r="A12" s="1" t="s">
        <v>54</v>
      </c>
      <c r="B12" s="1" t="s">
        <v>55</v>
      </c>
      <c r="C12" s="1" t="s">
        <v>41</v>
      </c>
      <c r="D12" s="1" t="s">
        <v>22</v>
      </c>
      <c r="E12" s="1" t="s">
        <v>11</v>
      </c>
      <c r="F12" s="1" t="s">
        <v>56</v>
      </c>
      <c r="G12" s="1" t="s">
        <v>13</v>
      </c>
    </row>
    <row r="13" spans="1:7" x14ac:dyDescent="0.25">
      <c r="A13" s="1" t="s">
        <v>57</v>
      </c>
      <c r="B13" s="1" t="s">
        <v>58</v>
      </c>
      <c r="C13" s="1" t="s">
        <v>9</v>
      </c>
      <c r="D13" s="1" t="s">
        <v>59</v>
      </c>
      <c r="E13" s="1" t="s">
        <v>18</v>
      </c>
      <c r="F13" s="1" t="s">
        <v>60</v>
      </c>
      <c r="G13" s="1" t="s">
        <v>19</v>
      </c>
    </row>
    <row r="14" spans="1:7" x14ac:dyDescent="0.25">
      <c r="A14" s="1" t="s">
        <v>61</v>
      </c>
      <c r="B14" s="1" t="s">
        <v>62</v>
      </c>
      <c r="C14" s="1" t="s">
        <v>63</v>
      </c>
      <c r="D14" s="1" t="s">
        <v>64</v>
      </c>
      <c r="E14" s="1" t="s">
        <v>23</v>
      </c>
      <c r="F14" s="1" t="s">
        <v>60</v>
      </c>
      <c r="G14" s="1" t="s">
        <v>25</v>
      </c>
    </row>
    <row r="15" spans="1:7" x14ac:dyDescent="0.25">
      <c r="A15" s="1" t="s">
        <v>65</v>
      </c>
      <c r="B15" s="1" t="s">
        <v>66</v>
      </c>
      <c r="C15" s="1" t="s">
        <v>53</v>
      </c>
      <c r="D15" s="1" t="s">
        <v>22</v>
      </c>
      <c r="E15" s="1" t="s">
        <v>23</v>
      </c>
      <c r="F15" s="1" t="s">
        <v>38</v>
      </c>
      <c r="G15" s="1" t="s">
        <v>25</v>
      </c>
    </row>
    <row r="16" spans="1:7" x14ac:dyDescent="0.25">
      <c r="A16" s="1" t="s">
        <v>67</v>
      </c>
      <c r="B16" s="1" t="s">
        <v>68</v>
      </c>
      <c r="C16" s="1" t="s">
        <v>53</v>
      </c>
      <c r="D16" s="1" t="s">
        <v>17</v>
      </c>
      <c r="E16" s="1" t="s">
        <v>11</v>
      </c>
      <c r="F16" s="1" t="s">
        <v>12</v>
      </c>
      <c r="G16" s="1" t="s">
        <v>13</v>
      </c>
    </row>
    <row r="17" spans="1:7" x14ac:dyDescent="0.25">
      <c r="A17" s="1" t="s">
        <v>69</v>
      </c>
      <c r="B17" s="1" t="s">
        <v>70</v>
      </c>
      <c r="C17" s="1" t="s">
        <v>71</v>
      </c>
      <c r="D17" s="1" t="s">
        <v>72</v>
      </c>
      <c r="E17" s="1" t="s">
        <v>18</v>
      </c>
      <c r="F17" s="1" t="s">
        <v>38</v>
      </c>
      <c r="G17" s="1" t="s">
        <v>19</v>
      </c>
    </row>
    <row r="18" spans="1:7" x14ac:dyDescent="0.25">
      <c r="A18" s="1" t="s">
        <v>73</v>
      </c>
      <c r="B18" s="1" t="s">
        <v>74</v>
      </c>
      <c r="C18" s="1" t="s">
        <v>53</v>
      </c>
      <c r="D18" s="1" t="s">
        <v>17</v>
      </c>
      <c r="E18" s="1" t="s">
        <v>11</v>
      </c>
      <c r="F18" s="1" t="s">
        <v>24</v>
      </c>
      <c r="G18" s="1" t="s">
        <v>13</v>
      </c>
    </row>
    <row r="19" spans="1:7" x14ac:dyDescent="0.25">
      <c r="A19" s="1" t="s">
        <v>75</v>
      </c>
      <c r="B19" s="1" t="s">
        <v>76</v>
      </c>
      <c r="C19" s="1" t="s">
        <v>77</v>
      </c>
      <c r="D19" s="1" t="s">
        <v>78</v>
      </c>
      <c r="E19" s="1" t="s">
        <v>11</v>
      </c>
      <c r="F19" s="1" t="s">
        <v>38</v>
      </c>
      <c r="G19" s="1" t="s">
        <v>13</v>
      </c>
    </row>
    <row r="20" spans="1:7" x14ac:dyDescent="0.25">
      <c r="A20" s="1" t="s">
        <v>79</v>
      </c>
      <c r="B20" s="1" t="s">
        <v>80</v>
      </c>
      <c r="C20" s="1" t="s">
        <v>63</v>
      </c>
      <c r="D20" s="1" t="s">
        <v>64</v>
      </c>
      <c r="E20" s="1" t="s">
        <v>42</v>
      </c>
      <c r="F20" s="1" t="s">
        <v>12</v>
      </c>
      <c r="G20" s="1" t="s">
        <v>43</v>
      </c>
    </row>
    <row r="21" spans="1:7" x14ac:dyDescent="0.25">
      <c r="A21" s="1" t="s">
        <v>81</v>
      </c>
      <c r="B21" s="1" t="s">
        <v>82</v>
      </c>
      <c r="C21" s="1" t="s">
        <v>63</v>
      </c>
      <c r="D21" s="1" t="s">
        <v>29</v>
      </c>
      <c r="E21" s="1" t="s">
        <v>23</v>
      </c>
      <c r="F21" s="1" t="s">
        <v>12</v>
      </c>
      <c r="G21" s="1" t="s">
        <v>25</v>
      </c>
    </row>
    <row r="22" spans="1:7" x14ac:dyDescent="0.25">
      <c r="A22" s="1" t="s">
        <v>83</v>
      </c>
      <c r="B22" s="1" t="s">
        <v>84</v>
      </c>
      <c r="C22" s="1" t="s">
        <v>36</v>
      </c>
      <c r="D22" s="1" t="s">
        <v>85</v>
      </c>
      <c r="E22" s="1" t="s">
        <v>11</v>
      </c>
      <c r="F22" s="1" t="s">
        <v>60</v>
      </c>
      <c r="G22" s="1" t="s">
        <v>13</v>
      </c>
    </row>
    <row r="23" spans="1:7" x14ac:dyDescent="0.25">
      <c r="A23" s="1" t="s">
        <v>86</v>
      </c>
      <c r="B23" s="1" t="s">
        <v>87</v>
      </c>
      <c r="C23" s="1" t="s">
        <v>88</v>
      </c>
      <c r="D23" s="1" t="s">
        <v>29</v>
      </c>
      <c r="E23" s="1" t="s">
        <v>11</v>
      </c>
      <c r="F23" s="1" t="s">
        <v>60</v>
      </c>
      <c r="G23" s="1" t="s">
        <v>13</v>
      </c>
    </row>
    <row r="24" spans="1:7" x14ac:dyDescent="0.25">
      <c r="A24" s="1" t="s">
        <v>89</v>
      </c>
      <c r="B24" s="1" t="s">
        <v>90</v>
      </c>
      <c r="C24" s="1" t="s">
        <v>91</v>
      </c>
      <c r="D24" s="1" t="s">
        <v>85</v>
      </c>
      <c r="E24" s="1" t="s">
        <v>23</v>
      </c>
      <c r="F24" s="1" t="s">
        <v>24</v>
      </c>
      <c r="G24" s="1" t="s">
        <v>25</v>
      </c>
    </row>
    <row r="25" spans="1:7" x14ac:dyDescent="0.25">
      <c r="A25" s="1" t="s">
        <v>92</v>
      </c>
      <c r="B25" s="1" t="s">
        <v>93</v>
      </c>
      <c r="C25" s="1" t="s">
        <v>28</v>
      </c>
      <c r="D25" s="1" t="s">
        <v>72</v>
      </c>
      <c r="E25" s="1" t="s">
        <v>11</v>
      </c>
      <c r="F25" s="1" t="s">
        <v>94</v>
      </c>
      <c r="G25" s="1" t="s">
        <v>13</v>
      </c>
    </row>
    <row r="26" spans="1:7" x14ac:dyDescent="0.25">
      <c r="A26" s="1" t="s">
        <v>95</v>
      </c>
      <c r="B26" s="1" t="s">
        <v>55</v>
      </c>
      <c r="C26" s="1" t="s">
        <v>96</v>
      </c>
      <c r="D26" s="1" t="s">
        <v>97</v>
      </c>
      <c r="E26" s="1" t="s">
        <v>23</v>
      </c>
      <c r="F26" s="1" t="s">
        <v>12</v>
      </c>
      <c r="G26" s="1" t="s">
        <v>25</v>
      </c>
    </row>
    <row r="27" spans="1:7" x14ac:dyDescent="0.25">
      <c r="A27" s="1" t="s">
        <v>98</v>
      </c>
      <c r="B27" s="1" t="s">
        <v>99</v>
      </c>
      <c r="C27" s="1" t="s">
        <v>100</v>
      </c>
      <c r="D27" s="1" t="s">
        <v>59</v>
      </c>
      <c r="E27" s="1" t="s">
        <v>23</v>
      </c>
      <c r="F27" s="1" t="s">
        <v>38</v>
      </c>
      <c r="G27" s="1" t="s">
        <v>25</v>
      </c>
    </row>
    <row r="28" spans="1:7" x14ac:dyDescent="0.25">
      <c r="A28" s="1" t="s">
        <v>101</v>
      </c>
      <c r="B28" s="1" t="s">
        <v>102</v>
      </c>
      <c r="C28" s="1" t="s">
        <v>63</v>
      </c>
      <c r="D28" s="1" t="s">
        <v>49</v>
      </c>
      <c r="E28" s="1" t="s">
        <v>23</v>
      </c>
      <c r="F28" s="1" t="s">
        <v>24</v>
      </c>
      <c r="G28" s="1" t="s">
        <v>25</v>
      </c>
    </row>
    <row r="29" spans="1:7" x14ac:dyDescent="0.25">
      <c r="A29" s="1" t="s">
        <v>103</v>
      </c>
      <c r="B29" s="1" t="s">
        <v>104</v>
      </c>
      <c r="C29" s="1" t="s">
        <v>9</v>
      </c>
      <c r="D29" s="1" t="s">
        <v>10</v>
      </c>
      <c r="E29" s="1" t="s">
        <v>11</v>
      </c>
      <c r="F29" s="1" t="s">
        <v>12</v>
      </c>
      <c r="G29" s="1" t="s">
        <v>13</v>
      </c>
    </row>
    <row r="30" spans="1:7" x14ac:dyDescent="0.25">
      <c r="A30" s="1" t="s">
        <v>105</v>
      </c>
      <c r="B30" s="1" t="s">
        <v>58</v>
      </c>
      <c r="C30" s="1" t="s">
        <v>106</v>
      </c>
      <c r="D30" s="1" t="s">
        <v>10</v>
      </c>
      <c r="E30" s="1" t="s">
        <v>23</v>
      </c>
      <c r="F30" s="1" t="s">
        <v>94</v>
      </c>
      <c r="G30" s="1" t="s">
        <v>25</v>
      </c>
    </row>
    <row r="31" spans="1:7" x14ac:dyDescent="0.25">
      <c r="A31" s="1" t="s">
        <v>107</v>
      </c>
      <c r="B31" s="1" t="s">
        <v>108</v>
      </c>
      <c r="C31" s="1" t="s">
        <v>109</v>
      </c>
      <c r="D31" s="1" t="s">
        <v>110</v>
      </c>
      <c r="E31" s="1" t="s">
        <v>42</v>
      </c>
      <c r="F31" s="1" t="s">
        <v>56</v>
      </c>
      <c r="G31" s="1" t="s">
        <v>43</v>
      </c>
    </row>
    <row r="32" spans="1:7" x14ac:dyDescent="0.25">
      <c r="A32" s="1" t="s">
        <v>111</v>
      </c>
      <c r="B32" s="1" t="s">
        <v>112</v>
      </c>
      <c r="C32" s="1" t="s">
        <v>113</v>
      </c>
      <c r="D32" s="1" t="s">
        <v>17</v>
      </c>
      <c r="E32" s="1" t="s">
        <v>42</v>
      </c>
      <c r="F32" s="1" t="s">
        <v>30</v>
      </c>
      <c r="G32" s="1" t="s">
        <v>43</v>
      </c>
    </row>
    <row r="33" spans="1:7" x14ac:dyDescent="0.25">
      <c r="A33" s="1" t="s">
        <v>114</v>
      </c>
      <c r="B33" s="1" t="s">
        <v>115</v>
      </c>
      <c r="C33" s="1" t="s">
        <v>33</v>
      </c>
      <c r="D33" s="1" t="s">
        <v>29</v>
      </c>
      <c r="E33" s="1" t="s">
        <v>23</v>
      </c>
      <c r="F33" s="1" t="s">
        <v>60</v>
      </c>
      <c r="G33" s="1" t="s">
        <v>25</v>
      </c>
    </row>
    <row r="34" spans="1:7" x14ac:dyDescent="0.25">
      <c r="A34" s="1" t="s">
        <v>116</v>
      </c>
      <c r="B34" s="1" t="s">
        <v>117</v>
      </c>
      <c r="C34" s="1" t="s">
        <v>118</v>
      </c>
      <c r="D34" s="1" t="s">
        <v>10</v>
      </c>
      <c r="E34" s="1" t="s">
        <v>23</v>
      </c>
      <c r="F34" s="1" t="s">
        <v>30</v>
      </c>
      <c r="G34" s="1" t="s">
        <v>25</v>
      </c>
    </row>
    <row r="35" spans="1:7" x14ac:dyDescent="0.25">
      <c r="A35" s="1" t="s">
        <v>119</v>
      </c>
      <c r="B35" s="1" t="s">
        <v>120</v>
      </c>
      <c r="C35" s="1" t="s">
        <v>106</v>
      </c>
      <c r="D35" s="1" t="s">
        <v>10</v>
      </c>
      <c r="E35" s="1" t="s">
        <v>11</v>
      </c>
      <c r="F35" s="1" t="s">
        <v>12</v>
      </c>
      <c r="G35" s="1" t="s">
        <v>13</v>
      </c>
    </row>
    <row r="36" spans="1:7" x14ac:dyDescent="0.25">
      <c r="A36" s="1" t="s">
        <v>105</v>
      </c>
      <c r="B36" s="1" t="s">
        <v>58</v>
      </c>
      <c r="C36" s="1" t="s">
        <v>121</v>
      </c>
      <c r="D36" s="1" t="s">
        <v>122</v>
      </c>
      <c r="E36" s="1" t="s">
        <v>23</v>
      </c>
      <c r="F36" s="1" t="s">
        <v>60</v>
      </c>
      <c r="G36" s="1" t="s">
        <v>25</v>
      </c>
    </row>
    <row r="37" spans="1:7" x14ac:dyDescent="0.25">
      <c r="A37" s="1" t="s">
        <v>123</v>
      </c>
      <c r="B37" s="1" t="s">
        <v>124</v>
      </c>
      <c r="C37" s="1" t="s">
        <v>125</v>
      </c>
      <c r="D37" s="1" t="s">
        <v>97</v>
      </c>
      <c r="E37" s="1" t="s">
        <v>11</v>
      </c>
      <c r="F37" s="1" t="s">
        <v>60</v>
      </c>
      <c r="G37" s="1" t="s">
        <v>13</v>
      </c>
    </row>
    <row r="38" spans="1:7" x14ac:dyDescent="0.25">
      <c r="A38" s="1" t="s">
        <v>126</v>
      </c>
      <c r="B38" s="1" t="s">
        <v>127</v>
      </c>
      <c r="C38" s="1" t="s">
        <v>128</v>
      </c>
      <c r="D38" s="1" t="s">
        <v>29</v>
      </c>
      <c r="E38" s="1" t="s">
        <v>18</v>
      </c>
      <c r="F38" s="1" t="s">
        <v>38</v>
      </c>
      <c r="G38" s="1" t="s">
        <v>19</v>
      </c>
    </row>
    <row r="39" spans="1:7" x14ac:dyDescent="0.25">
      <c r="A39" s="1" t="s">
        <v>129</v>
      </c>
      <c r="B39" s="1" t="s">
        <v>130</v>
      </c>
      <c r="C39" s="1" t="s">
        <v>131</v>
      </c>
      <c r="D39" s="1" t="s">
        <v>110</v>
      </c>
      <c r="E39" s="1" t="s">
        <v>11</v>
      </c>
      <c r="F39" s="1" t="s">
        <v>56</v>
      </c>
      <c r="G39" s="1" t="s">
        <v>13</v>
      </c>
    </row>
    <row r="40" spans="1:7" x14ac:dyDescent="0.25">
      <c r="A40" s="1" t="s">
        <v>132</v>
      </c>
      <c r="B40" s="1" t="s">
        <v>133</v>
      </c>
      <c r="C40" s="1" t="s">
        <v>134</v>
      </c>
      <c r="D40" s="1" t="s">
        <v>97</v>
      </c>
      <c r="E40" s="1" t="s">
        <v>11</v>
      </c>
      <c r="F40" s="1" t="s">
        <v>135</v>
      </c>
      <c r="G40" s="1" t="s">
        <v>13</v>
      </c>
    </row>
    <row r="41" spans="1:7" x14ac:dyDescent="0.25">
      <c r="A41" s="1" t="s">
        <v>136</v>
      </c>
      <c r="B41" s="1" t="s">
        <v>137</v>
      </c>
      <c r="C41" s="1" t="s">
        <v>138</v>
      </c>
      <c r="D41" s="1" t="s">
        <v>59</v>
      </c>
      <c r="E41" s="1" t="s">
        <v>42</v>
      </c>
      <c r="F41" s="1" t="s">
        <v>38</v>
      </c>
      <c r="G41" s="1" t="s">
        <v>43</v>
      </c>
    </row>
    <row r="42" spans="1:7" x14ac:dyDescent="0.25">
      <c r="A42" s="1" t="s">
        <v>139</v>
      </c>
      <c r="B42" s="1" t="s">
        <v>140</v>
      </c>
      <c r="C42" s="1" t="s">
        <v>141</v>
      </c>
      <c r="D42" s="1" t="s">
        <v>142</v>
      </c>
      <c r="E42" s="1" t="s">
        <v>18</v>
      </c>
      <c r="F42" s="1" t="s">
        <v>60</v>
      </c>
      <c r="G42" s="1" t="s">
        <v>19</v>
      </c>
    </row>
    <row r="43" spans="1:7" x14ac:dyDescent="0.25">
      <c r="A43" s="1" t="s">
        <v>143</v>
      </c>
      <c r="B43" s="1" t="s">
        <v>144</v>
      </c>
      <c r="C43" s="1" t="s">
        <v>53</v>
      </c>
      <c r="D43" s="1" t="s">
        <v>110</v>
      </c>
      <c r="E43" s="1" t="s">
        <v>23</v>
      </c>
      <c r="F43" s="1" t="s">
        <v>38</v>
      </c>
      <c r="G43" s="1" t="s">
        <v>25</v>
      </c>
    </row>
    <row r="44" spans="1:7" x14ac:dyDescent="0.25">
      <c r="A44" s="1" t="s">
        <v>145</v>
      </c>
      <c r="B44" s="1" t="s">
        <v>140</v>
      </c>
      <c r="C44" s="1" t="s">
        <v>53</v>
      </c>
      <c r="D44" s="1" t="s">
        <v>22</v>
      </c>
      <c r="E44" s="1" t="s">
        <v>23</v>
      </c>
      <c r="F44" s="1" t="s">
        <v>24</v>
      </c>
      <c r="G44" s="1" t="s">
        <v>25</v>
      </c>
    </row>
    <row r="45" spans="1:7" x14ac:dyDescent="0.25">
      <c r="A45" s="1" t="s">
        <v>146</v>
      </c>
      <c r="B45" s="1" t="s">
        <v>147</v>
      </c>
      <c r="C45" s="1" t="s">
        <v>148</v>
      </c>
      <c r="D45" s="1" t="s">
        <v>49</v>
      </c>
      <c r="E45" s="1" t="s">
        <v>42</v>
      </c>
      <c r="F45" s="1" t="s">
        <v>94</v>
      </c>
      <c r="G45" s="1" t="s">
        <v>43</v>
      </c>
    </row>
    <row r="46" spans="1:7" x14ac:dyDescent="0.25">
      <c r="A46" s="1" t="s">
        <v>149</v>
      </c>
      <c r="B46" s="1" t="s">
        <v>150</v>
      </c>
      <c r="C46" s="1" t="s">
        <v>151</v>
      </c>
      <c r="D46" s="1" t="s">
        <v>29</v>
      </c>
      <c r="E46" s="1" t="s">
        <v>18</v>
      </c>
      <c r="F46" s="1" t="s">
        <v>12</v>
      </c>
      <c r="G46" s="1" t="s">
        <v>19</v>
      </c>
    </row>
    <row r="47" spans="1:7" x14ac:dyDescent="0.25">
      <c r="A47" s="1" t="s">
        <v>152</v>
      </c>
      <c r="B47" s="1" t="s">
        <v>153</v>
      </c>
      <c r="C47" s="1" t="s">
        <v>118</v>
      </c>
      <c r="D47" s="1" t="s">
        <v>10</v>
      </c>
      <c r="E47" s="1" t="s">
        <v>23</v>
      </c>
      <c r="F47" s="1" t="s">
        <v>50</v>
      </c>
      <c r="G47" s="1" t="s">
        <v>25</v>
      </c>
    </row>
    <row r="48" spans="1:7" x14ac:dyDescent="0.25">
      <c r="A48" s="1" t="s">
        <v>154</v>
      </c>
      <c r="B48" s="1" t="s">
        <v>155</v>
      </c>
      <c r="C48" s="1" t="s">
        <v>156</v>
      </c>
      <c r="D48" s="1" t="s">
        <v>85</v>
      </c>
      <c r="E48" s="1" t="s">
        <v>23</v>
      </c>
      <c r="F48" s="1" t="s">
        <v>60</v>
      </c>
      <c r="G48" s="1" t="s">
        <v>25</v>
      </c>
    </row>
    <row r="49" spans="1:7" x14ac:dyDescent="0.25">
      <c r="A49" s="1" t="s">
        <v>157</v>
      </c>
      <c r="B49" s="1" t="s">
        <v>158</v>
      </c>
      <c r="C49" s="1" t="s">
        <v>128</v>
      </c>
      <c r="D49" s="1" t="s">
        <v>29</v>
      </c>
      <c r="E49" s="1" t="s">
        <v>11</v>
      </c>
      <c r="F49" s="1" t="s">
        <v>38</v>
      </c>
      <c r="G49" s="1" t="s">
        <v>13</v>
      </c>
    </row>
    <row r="50" spans="1:7" x14ac:dyDescent="0.25">
      <c r="A50" s="1" t="s">
        <v>159</v>
      </c>
      <c r="B50" s="1" t="s">
        <v>160</v>
      </c>
      <c r="C50" s="1" t="s">
        <v>161</v>
      </c>
      <c r="D50" s="1" t="s">
        <v>97</v>
      </c>
      <c r="E50" s="1" t="s">
        <v>42</v>
      </c>
      <c r="F50" s="1" t="s">
        <v>60</v>
      </c>
      <c r="G50" s="1" t="s">
        <v>43</v>
      </c>
    </row>
    <row r="51" spans="1:7" x14ac:dyDescent="0.25">
      <c r="A51" s="1" t="s">
        <v>162</v>
      </c>
      <c r="B51" s="1" t="s">
        <v>163</v>
      </c>
      <c r="C51" s="1" t="s">
        <v>91</v>
      </c>
      <c r="D51" s="1" t="s">
        <v>37</v>
      </c>
      <c r="E51" s="1" t="s">
        <v>23</v>
      </c>
      <c r="F51" s="1" t="s">
        <v>60</v>
      </c>
      <c r="G51" s="1" t="s">
        <v>25</v>
      </c>
    </row>
    <row r="52" spans="1:7" x14ac:dyDescent="0.25">
      <c r="A52" s="1" t="s">
        <v>164</v>
      </c>
      <c r="B52" s="1" t="s">
        <v>165</v>
      </c>
      <c r="C52" s="1" t="s">
        <v>121</v>
      </c>
      <c r="D52" s="1" t="s">
        <v>10</v>
      </c>
      <c r="E52" s="1" t="s">
        <v>42</v>
      </c>
      <c r="F52" s="1" t="s">
        <v>56</v>
      </c>
      <c r="G52" s="1" t="s">
        <v>43</v>
      </c>
    </row>
    <row r="53" spans="1:7" x14ac:dyDescent="0.25">
      <c r="A53" s="1" t="s">
        <v>166</v>
      </c>
      <c r="B53" s="1" t="s">
        <v>167</v>
      </c>
      <c r="C53" s="1" t="s">
        <v>131</v>
      </c>
      <c r="D53" s="1" t="s">
        <v>22</v>
      </c>
      <c r="E53" s="1" t="s">
        <v>42</v>
      </c>
      <c r="F53" s="1" t="s">
        <v>24</v>
      </c>
      <c r="G53" s="1" t="s">
        <v>43</v>
      </c>
    </row>
    <row r="54" spans="1:7" x14ac:dyDescent="0.25">
      <c r="A54" s="1" t="s">
        <v>168</v>
      </c>
      <c r="B54" s="1" t="s">
        <v>130</v>
      </c>
      <c r="C54" s="1" t="s">
        <v>121</v>
      </c>
      <c r="D54" s="1" t="s">
        <v>122</v>
      </c>
      <c r="E54" s="1" t="s">
        <v>42</v>
      </c>
      <c r="F54" s="1" t="s">
        <v>38</v>
      </c>
      <c r="G54" s="1" t="s">
        <v>43</v>
      </c>
    </row>
    <row r="55" spans="1:7" x14ac:dyDescent="0.25">
      <c r="A55" s="1" t="s">
        <v>169</v>
      </c>
      <c r="B55" s="1" t="s">
        <v>170</v>
      </c>
      <c r="C55" s="1" t="s">
        <v>148</v>
      </c>
      <c r="D55" s="1" t="s">
        <v>29</v>
      </c>
      <c r="E55" s="1" t="s">
        <v>23</v>
      </c>
      <c r="F55" s="1" t="s">
        <v>56</v>
      </c>
      <c r="G55" s="1" t="s">
        <v>25</v>
      </c>
    </row>
    <row r="56" spans="1:7" x14ac:dyDescent="0.25">
      <c r="A56" s="1" t="s">
        <v>171</v>
      </c>
      <c r="B56" s="1" t="s">
        <v>133</v>
      </c>
      <c r="C56" s="1" t="s">
        <v>172</v>
      </c>
      <c r="D56" s="1" t="s">
        <v>78</v>
      </c>
      <c r="E56" s="1" t="s">
        <v>18</v>
      </c>
      <c r="F56" s="1" t="s">
        <v>60</v>
      </c>
      <c r="G56" s="1" t="s">
        <v>19</v>
      </c>
    </row>
    <row r="57" spans="1:7" x14ac:dyDescent="0.25">
      <c r="A57" s="1" t="s">
        <v>173</v>
      </c>
      <c r="B57" s="1" t="s">
        <v>167</v>
      </c>
      <c r="C57" s="1" t="s">
        <v>174</v>
      </c>
      <c r="D57" s="1" t="s">
        <v>122</v>
      </c>
      <c r="E57" s="1" t="s">
        <v>11</v>
      </c>
      <c r="F57" s="1" t="s">
        <v>24</v>
      </c>
      <c r="G57" s="1" t="s">
        <v>13</v>
      </c>
    </row>
    <row r="58" spans="1:7" x14ac:dyDescent="0.25">
      <c r="A58" s="1" t="s">
        <v>175</v>
      </c>
      <c r="B58" s="1" t="s">
        <v>176</v>
      </c>
      <c r="C58" s="1" t="s">
        <v>113</v>
      </c>
      <c r="D58" s="1" t="s">
        <v>142</v>
      </c>
      <c r="E58" s="1" t="s">
        <v>42</v>
      </c>
      <c r="F58" s="1" t="s">
        <v>50</v>
      </c>
      <c r="G58" s="1" t="s">
        <v>43</v>
      </c>
    </row>
    <row r="59" spans="1:7" x14ac:dyDescent="0.25">
      <c r="A59" s="1" t="s">
        <v>177</v>
      </c>
      <c r="B59" s="1" t="s">
        <v>178</v>
      </c>
      <c r="C59" s="1" t="s">
        <v>179</v>
      </c>
      <c r="D59" s="1" t="s">
        <v>110</v>
      </c>
      <c r="E59" s="1" t="s">
        <v>23</v>
      </c>
      <c r="F59" s="1" t="s">
        <v>135</v>
      </c>
      <c r="G59" s="1" t="s">
        <v>25</v>
      </c>
    </row>
    <row r="60" spans="1:7" x14ac:dyDescent="0.25">
      <c r="A60" s="1" t="s">
        <v>180</v>
      </c>
      <c r="B60" s="1" t="s">
        <v>181</v>
      </c>
      <c r="C60" s="1" t="s">
        <v>182</v>
      </c>
      <c r="D60" s="1" t="s">
        <v>37</v>
      </c>
      <c r="E60" s="1" t="s">
        <v>18</v>
      </c>
      <c r="F60" s="1" t="s">
        <v>56</v>
      </c>
      <c r="G60" s="1" t="s">
        <v>19</v>
      </c>
    </row>
    <row r="61" spans="1:7" x14ac:dyDescent="0.25">
      <c r="A61" s="1" t="s">
        <v>183</v>
      </c>
      <c r="B61" s="1" t="s">
        <v>184</v>
      </c>
      <c r="C61" s="1" t="s">
        <v>46</v>
      </c>
      <c r="D61" s="1" t="s">
        <v>17</v>
      </c>
      <c r="E61" s="1" t="s">
        <v>42</v>
      </c>
      <c r="F61" s="1" t="s">
        <v>38</v>
      </c>
      <c r="G61" s="1" t="s">
        <v>43</v>
      </c>
    </row>
    <row r="62" spans="1:7" x14ac:dyDescent="0.25">
      <c r="A62" s="1" t="s">
        <v>185</v>
      </c>
      <c r="B62" s="1" t="s">
        <v>186</v>
      </c>
      <c r="C62" s="1" t="s">
        <v>187</v>
      </c>
      <c r="D62" s="1" t="s">
        <v>72</v>
      </c>
      <c r="E62" s="1" t="s">
        <v>42</v>
      </c>
      <c r="F62" s="1" t="s">
        <v>56</v>
      </c>
      <c r="G62" s="1" t="s">
        <v>43</v>
      </c>
    </row>
    <row r="63" spans="1:7" x14ac:dyDescent="0.25">
      <c r="A63" s="1" t="s">
        <v>188</v>
      </c>
      <c r="B63" s="1" t="s">
        <v>189</v>
      </c>
      <c r="C63" s="1" t="s">
        <v>138</v>
      </c>
      <c r="D63" s="1" t="s">
        <v>59</v>
      </c>
      <c r="E63" s="1" t="s">
        <v>42</v>
      </c>
      <c r="F63" s="1" t="s">
        <v>24</v>
      </c>
      <c r="G63" s="1" t="s">
        <v>43</v>
      </c>
    </row>
    <row r="64" spans="1:7" x14ac:dyDescent="0.25">
      <c r="A64" s="1" t="s">
        <v>190</v>
      </c>
      <c r="B64" s="1" t="s">
        <v>191</v>
      </c>
      <c r="C64" s="1" t="s">
        <v>33</v>
      </c>
      <c r="D64" s="1" t="s">
        <v>72</v>
      </c>
      <c r="E64" s="1" t="s">
        <v>23</v>
      </c>
      <c r="F64" s="1" t="s">
        <v>60</v>
      </c>
      <c r="G64" s="1" t="s">
        <v>25</v>
      </c>
    </row>
    <row r="65" spans="1:7" x14ac:dyDescent="0.25">
      <c r="A65" s="1" t="s">
        <v>192</v>
      </c>
      <c r="B65" s="1" t="s">
        <v>193</v>
      </c>
      <c r="C65" s="1" t="s">
        <v>156</v>
      </c>
      <c r="D65" s="1" t="s">
        <v>37</v>
      </c>
      <c r="E65" s="1" t="s">
        <v>11</v>
      </c>
      <c r="F65" s="1" t="s">
        <v>30</v>
      </c>
      <c r="G65" s="1" t="s">
        <v>13</v>
      </c>
    </row>
    <row r="66" spans="1:7" x14ac:dyDescent="0.25">
      <c r="A66" s="1" t="s">
        <v>194</v>
      </c>
      <c r="B66" s="1" t="s">
        <v>66</v>
      </c>
      <c r="C66" s="1" t="s">
        <v>106</v>
      </c>
      <c r="D66" s="1" t="s">
        <v>78</v>
      </c>
      <c r="E66" s="1" t="s">
        <v>11</v>
      </c>
      <c r="F66" s="1" t="s">
        <v>24</v>
      </c>
      <c r="G66" s="1" t="s">
        <v>13</v>
      </c>
    </row>
    <row r="67" spans="1:7" x14ac:dyDescent="0.25">
      <c r="A67" s="1" t="s">
        <v>195</v>
      </c>
      <c r="B67" s="1" t="s">
        <v>196</v>
      </c>
      <c r="C67" s="1" t="s">
        <v>156</v>
      </c>
      <c r="D67" s="1" t="s">
        <v>197</v>
      </c>
      <c r="E67" s="1" t="s">
        <v>18</v>
      </c>
      <c r="F67" s="1" t="s">
        <v>12</v>
      </c>
      <c r="G67" s="1" t="s">
        <v>19</v>
      </c>
    </row>
    <row r="68" spans="1:7" x14ac:dyDescent="0.25">
      <c r="A68" s="1" t="s">
        <v>198</v>
      </c>
      <c r="B68" s="1" t="s">
        <v>199</v>
      </c>
      <c r="C68" s="1" t="s">
        <v>200</v>
      </c>
      <c r="D68" s="1" t="s">
        <v>97</v>
      </c>
      <c r="E68" s="1" t="s">
        <v>23</v>
      </c>
      <c r="F68" s="1" t="s">
        <v>24</v>
      </c>
      <c r="G68" s="1" t="s">
        <v>25</v>
      </c>
    </row>
    <row r="69" spans="1:7" x14ac:dyDescent="0.25">
      <c r="A69" s="1" t="s">
        <v>201</v>
      </c>
      <c r="B69" s="1" t="s">
        <v>202</v>
      </c>
      <c r="C69" s="1" t="s">
        <v>203</v>
      </c>
      <c r="D69" s="1" t="s">
        <v>142</v>
      </c>
      <c r="E69" s="1" t="s">
        <v>42</v>
      </c>
      <c r="F69" s="1" t="s">
        <v>24</v>
      </c>
      <c r="G69" s="1" t="s">
        <v>43</v>
      </c>
    </row>
    <row r="70" spans="1:7" x14ac:dyDescent="0.25">
      <c r="A70" s="1" t="s">
        <v>204</v>
      </c>
      <c r="B70" s="1" t="s">
        <v>205</v>
      </c>
      <c r="C70" s="1" t="s">
        <v>113</v>
      </c>
      <c r="D70" s="1" t="s">
        <v>110</v>
      </c>
      <c r="E70" s="1" t="s">
        <v>18</v>
      </c>
      <c r="F70" s="1" t="s">
        <v>135</v>
      </c>
      <c r="G70" s="1" t="s">
        <v>19</v>
      </c>
    </row>
    <row r="71" spans="1:7" x14ac:dyDescent="0.25">
      <c r="A71" s="1" t="s">
        <v>206</v>
      </c>
      <c r="B71" s="1" t="s">
        <v>207</v>
      </c>
      <c r="C71" s="1" t="s">
        <v>151</v>
      </c>
      <c r="D71" s="1" t="s">
        <v>29</v>
      </c>
      <c r="E71" s="1" t="s">
        <v>42</v>
      </c>
      <c r="F71" s="1" t="s">
        <v>56</v>
      </c>
      <c r="G71" s="1" t="s">
        <v>43</v>
      </c>
    </row>
    <row r="72" spans="1:7" x14ac:dyDescent="0.25">
      <c r="A72" s="1" t="s">
        <v>208</v>
      </c>
      <c r="B72" s="1" t="s">
        <v>209</v>
      </c>
      <c r="C72" s="1" t="s">
        <v>63</v>
      </c>
      <c r="D72" s="1" t="s">
        <v>49</v>
      </c>
      <c r="E72" s="1" t="s">
        <v>18</v>
      </c>
      <c r="F72" s="1" t="s">
        <v>24</v>
      </c>
      <c r="G72" s="1" t="s">
        <v>19</v>
      </c>
    </row>
    <row r="73" spans="1:7" x14ac:dyDescent="0.25">
      <c r="A73" s="1" t="s">
        <v>210</v>
      </c>
      <c r="B73" s="1" t="s">
        <v>211</v>
      </c>
      <c r="C73" s="1" t="s">
        <v>156</v>
      </c>
      <c r="D73" s="1" t="s">
        <v>37</v>
      </c>
      <c r="E73" s="1" t="s">
        <v>23</v>
      </c>
      <c r="F73" s="1" t="s">
        <v>60</v>
      </c>
      <c r="G73" s="1" t="s">
        <v>25</v>
      </c>
    </row>
    <row r="74" spans="1:7" x14ac:dyDescent="0.25">
      <c r="A74" s="1" t="s">
        <v>212</v>
      </c>
      <c r="B74" s="1" t="s">
        <v>213</v>
      </c>
      <c r="C74" s="1" t="s">
        <v>118</v>
      </c>
      <c r="D74" s="1" t="s">
        <v>122</v>
      </c>
      <c r="E74" s="1" t="s">
        <v>42</v>
      </c>
      <c r="F74" s="1" t="s">
        <v>56</v>
      </c>
      <c r="G74" s="1" t="s">
        <v>43</v>
      </c>
    </row>
    <row r="75" spans="1:7" x14ac:dyDescent="0.25">
      <c r="A75" s="1" t="s">
        <v>214</v>
      </c>
      <c r="B75" s="1" t="s">
        <v>215</v>
      </c>
      <c r="C75" s="1" t="s">
        <v>36</v>
      </c>
      <c r="D75" s="1" t="s">
        <v>197</v>
      </c>
      <c r="E75" s="1" t="s">
        <v>42</v>
      </c>
      <c r="F75" s="1" t="s">
        <v>56</v>
      </c>
      <c r="G75" s="1" t="s">
        <v>43</v>
      </c>
    </row>
    <row r="76" spans="1:7" x14ac:dyDescent="0.25">
      <c r="A76" s="1" t="s">
        <v>216</v>
      </c>
      <c r="B76" s="1" t="s">
        <v>217</v>
      </c>
      <c r="C76" s="1" t="s">
        <v>138</v>
      </c>
      <c r="D76" s="1" t="s">
        <v>59</v>
      </c>
      <c r="E76" s="1" t="s">
        <v>23</v>
      </c>
      <c r="F76" s="1" t="s">
        <v>60</v>
      </c>
      <c r="G76" s="1" t="s">
        <v>25</v>
      </c>
    </row>
    <row r="77" spans="1:7" x14ac:dyDescent="0.25">
      <c r="A77" s="1" t="s">
        <v>168</v>
      </c>
      <c r="B77" s="1" t="s">
        <v>218</v>
      </c>
      <c r="C77" s="1" t="s">
        <v>100</v>
      </c>
      <c r="D77" s="1" t="s">
        <v>59</v>
      </c>
      <c r="E77" s="1" t="s">
        <v>42</v>
      </c>
      <c r="F77" s="1" t="s">
        <v>38</v>
      </c>
      <c r="G77" s="1" t="s">
        <v>43</v>
      </c>
    </row>
    <row r="78" spans="1:7" x14ac:dyDescent="0.25">
      <c r="A78" s="1" t="s">
        <v>219</v>
      </c>
      <c r="B78" s="1" t="s">
        <v>220</v>
      </c>
      <c r="C78" s="1" t="s">
        <v>151</v>
      </c>
      <c r="D78" s="1" t="s">
        <v>49</v>
      </c>
      <c r="E78" s="1" t="s">
        <v>18</v>
      </c>
      <c r="F78" s="1" t="s">
        <v>30</v>
      </c>
      <c r="G78" s="1" t="s">
        <v>19</v>
      </c>
    </row>
    <row r="79" spans="1:7" x14ac:dyDescent="0.25">
      <c r="A79" s="1" t="s">
        <v>221</v>
      </c>
      <c r="B79" s="1" t="s">
        <v>222</v>
      </c>
      <c r="C79" s="1" t="s">
        <v>28</v>
      </c>
      <c r="D79" s="1" t="s">
        <v>64</v>
      </c>
      <c r="E79" s="1" t="s">
        <v>42</v>
      </c>
      <c r="F79" s="1" t="s">
        <v>24</v>
      </c>
      <c r="G79" s="1" t="s">
        <v>43</v>
      </c>
    </row>
    <row r="80" spans="1:7" x14ac:dyDescent="0.25">
      <c r="A80" s="1" t="s">
        <v>223</v>
      </c>
      <c r="B80" s="1" t="s">
        <v>224</v>
      </c>
      <c r="C80" s="1" t="s">
        <v>77</v>
      </c>
      <c r="D80" s="1" t="s">
        <v>78</v>
      </c>
      <c r="E80" s="1" t="s">
        <v>11</v>
      </c>
      <c r="F80" s="1" t="s">
        <v>56</v>
      </c>
      <c r="G80" s="1" t="s">
        <v>13</v>
      </c>
    </row>
    <row r="81" spans="1:7" x14ac:dyDescent="0.25">
      <c r="A81" s="1" t="s">
        <v>225</v>
      </c>
      <c r="B81" s="1" t="s">
        <v>226</v>
      </c>
      <c r="C81" s="1" t="s">
        <v>121</v>
      </c>
      <c r="D81" s="1" t="s">
        <v>122</v>
      </c>
      <c r="E81" s="1" t="s">
        <v>23</v>
      </c>
      <c r="F81" s="1" t="s">
        <v>94</v>
      </c>
      <c r="G81" s="1" t="s">
        <v>25</v>
      </c>
    </row>
    <row r="82" spans="1:7" x14ac:dyDescent="0.25">
      <c r="A82" s="1" t="s">
        <v>227</v>
      </c>
      <c r="B82" s="1" t="s">
        <v>228</v>
      </c>
      <c r="C82" s="1" t="s">
        <v>28</v>
      </c>
      <c r="D82" s="1" t="s">
        <v>29</v>
      </c>
      <c r="E82" s="1" t="s">
        <v>18</v>
      </c>
      <c r="F82" s="1" t="s">
        <v>60</v>
      </c>
      <c r="G82" s="1" t="s">
        <v>19</v>
      </c>
    </row>
    <row r="83" spans="1:7" x14ac:dyDescent="0.25">
      <c r="A83" s="1" t="s">
        <v>229</v>
      </c>
      <c r="B83" s="1" t="s">
        <v>230</v>
      </c>
      <c r="C83" s="1" t="s">
        <v>172</v>
      </c>
      <c r="D83" s="1" t="s">
        <v>78</v>
      </c>
      <c r="E83" s="1" t="s">
        <v>11</v>
      </c>
      <c r="F83" s="1" t="s">
        <v>94</v>
      </c>
      <c r="G83" s="1" t="s">
        <v>13</v>
      </c>
    </row>
    <row r="84" spans="1:7" x14ac:dyDescent="0.25">
      <c r="A84" s="1" t="s">
        <v>75</v>
      </c>
      <c r="B84" s="1" t="s">
        <v>231</v>
      </c>
      <c r="C84" s="1" t="s">
        <v>232</v>
      </c>
      <c r="D84" s="1" t="s">
        <v>10</v>
      </c>
      <c r="E84" s="1" t="s">
        <v>11</v>
      </c>
      <c r="F84" s="1" t="s">
        <v>38</v>
      </c>
      <c r="G84" s="1" t="s">
        <v>13</v>
      </c>
    </row>
    <row r="85" spans="1:7" x14ac:dyDescent="0.25">
      <c r="A85" s="1" t="s">
        <v>233</v>
      </c>
      <c r="B85" s="1" t="s">
        <v>234</v>
      </c>
      <c r="C85" s="1" t="s">
        <v>41</v>
      </c>
      <c r="D85" s="1" t="s">
        <v>17</v>
      </c>
      <c r="E85" s="1" t="s">
        <v>18</v>
      </c>
      <c r="F85" s="1" t="s">
        <v>12</v>
      </c>
      <c r="G85" s="1" t="s">
        <v>19</v>
      </c>
    </row>
    <row r="86" spans="1:7" x14ac:dyDescent="0.25">
      <c r="A86" s="1" t="s">
        <v>235</v>
      </c>
      <c r="B86" s="1" t="s">
        <v>236</v>
      </c>
      <c r="C86" s="1" t="s">
        <v>36</v>
      </c>
      <c r="D86" s="1" t="s">
        <v>197</v>
      </c>
      <c r="E86" s="1" t="s">
        <v>11</v>
      </c>
      <c r="F86" s="1" t="s">
        <v>12</v>
      </c>
      <c r="G86" s="1" t="s">
        <v>13</v>
      </c>
    </row>
    <row r="87" spans="1:7" x14ac:dyDescent="0.25">
      <c r="A87" s="1" t="s">
        <v>183</v>
      </c>
      <c r="B87" s="1" t="s">
        <v>237</v>
      </c>
      <c r="C87" s="1" t="s">
        <v>141</v>
      </c>
      <c r="D87" s="1" t="s">
        <v>142</v>
      </c>
      <c r="E87" s="1" t="s">
        <v>42</v>
      </c>
      <c r="F87" s="1" t="s">
        <v>38</v>
      </c>
      <c r="G87" s="1" t="s">
        <v>43</v>
      </c>
    </row>
    <row r="88" spans="1:7" x14ac:dyDescent="0.25">
      <c r="A88" s="1" t="s">
        <v>238</v>
      </c>
      <c r="B88" s="1" t="s">
        <v>239</v>
      </c>
      <c r="C88" s="1" t="s">
        <v>187</v>
      </c>
      <c r="D88" s="1" t="s">
        <v>64</v>
      </c>
      <c r="E88" s="1" t="s">
        <v>42</v>
      </c>
      <c r="F88" s="1" t="s">
        <v>38</v>
      </c>
      <c r="G88" s="1" t="s">
        <v>43</v>
      </c>
    </row>
    <row r="89" spans="1:7" x14ac:dyDescent="0.25">
      <c r="A89" s="1" t="s">
        <v>240</v>
      </c>
      <c r="B89" s="1" t="s">
        <v>241</v>
      </c>
      <c r="C89" s="1" t="s">
        <v>200</v>
      </c>
      <c r="D89" s="1" t="s">
        <v>197</v>
      </c>
      <c r="E89" s="1" t="s">
        <v>42</v>
      </c>
      <c r="F89" s="1" t="s">
        <v>24</v>
      </c>
      <c r="G89" s="1" t="s">
        <v>43</v>
      </c>
    </row>
    <row r="90" spans="1:7" x14ac:dyDescent="0.25">
      <c r="A90" s="1" t="s">
        <v>242</v>
      </c>
      <c r="B90" s="1" t="s">
        <v>243</v>
      </c>
      <c r="C90" s="1" t="s">
        <v>148</v>
      </c>
      <c r="D90" s="1" t="s">
        <v>49</v>
      </c>
      <c r="E90" s="1" t="s">
        <v>23</v>
      </c>
      <c r="F90" s="1" t="s">
        <v>24</v>
      </c>
      <c r="G90" s="1" t="s">
        <v>25</v>
      </c>
    </row>
    <row r="91" spans="1:7" x14ac:dyDescent="0.25">
      <c r="A91" s="1" t="s">
        <v>244</v>
      </c>
      <c r="B91" s="1" t="s">
        <v>245</v>
      </c>
      <c r="C91" s="1" t="s">
        <v>148</v>
      </c>
      <c r="D91" s="1" t="s">
        <v>29</v>
      </c>
      <c r="E91" s="1" t="s">
        <v>23</v>
      </c>
      <c r="F91" s="1" t="s">
        <v>56</v>
      </c>
      <c r="G91" s="1" t="s">
        <v>25</v>
      </c>
    </row>
    <row r="92" spans="1:7" x14ac:dyDescent="0.25">
      <c r="A92" s="1" t="s">
        <v>246</v>
      </c>
      <c r="B92" s="1" t="s">
        <v>40</v>
      </c>
      <c r="C92" s="1" t="s">
        <v>28</v>
      </c>
      <c r="D92" s="1" t="s">
        <v>64</v>
      </c>
      <c r="E92" s="1" t="s">
        <v>23</v>
      </c>
      <c r="F92" s="1" t="s">
        <v>12</v>
      </c>
      <c r="G92" s="1" t="s">
        <v>25</v>
      </c>
    </row>
    <row r="93" spans="1:7" x14ac:dyDescent="0.25">
      <c r="A93" s="1" t="s">
        <v>247</v>
      </c>
      <c r="B93" s="1" t="s">
        <v>248</v>
      </c>
      <c r="C93" s="1" t="s">
        <v>36</v>
      </c>
      <c r="D93" s="1" t="s">
        <v>97</v>
      </c>
      <c r="E93" s="1" t="s">
        <v>11</v>
      </c>
      <c r="F93" s="1" t="s">
        <v>12</v>
      </c>
      <c r="G93" s="1" t="s">
        <v>13</v>
      </c>
    </row>
    <row r="94" spans="1:7" x14ac:dyDescent="0.25">
      <c r="A94" s="1" t="s">
        <v>249</v>
      </c>
      <c r="B94" s="1" t="s">
        <v>250</v>
      </c>
      <c r="C94" s="1" t="s">
        <v>71</v>
      </c>
      <c r="D94" s="1" t="s">
        <v>72</v>
      </c>
      <c r="E94" s="1" t="s">
        <v>23</v>
      </c>
      <c r="F94" s="1" t="s">
        <v>24</v>
      </c>
      <c r="G94" s="1" t="s">
        <v>25</v>
      </c>
    </row>
    <row r="95" spans="1:7" x14ac:dyDescent="0.25">
      <c r="A95" s="1" t="s">
        <v>251</v>
      </c>
      <c r="B95" s="1" t="s">
        <v>252</v>
      </c>
      <c r="C95" s="1" t="s">
        <v>46</v>
      </c>
      <c r="D95" s="1" t="s">
        <v>142</v>
      </c>
      <c r="E95" s="1" t="s">
        <v>42</v>
      </c>
      <c r="F95" s="1" t="s">
        <v>12</v>
      </c>
      <c r="G95" s="1" t="s">
        <v>43</v>
      </c>
    </row>
    <row r="96" spans="1:7" x14ac:dyDescent="0.25">
      <c r="A96" s="1" t="s">
        <v>253</v>
      </c>
      <c r="B96" s="1" t="s">
        <v>254</v>
      </c>
      <c r="C96" s="1" t="s">
        <v>125</v>
      </c>
      <c r="D96" s="1" t="s">
        <v>85</v>
      </c>
      <c r="E96" s="1" t="s">
        <v>42</v>
      </c>
      <c r="F96" s="1" t="s">
        <v>60</v>
      </c>
      <c r="G96" s="1" t="s">
        <v>43</v>
      </c>
    </row>
    <row r="97" spans="1:7" x14ac:dyDescent="0.25">
      <c r="A97" s="1" t="s">
        <v>255</v>
      </c>
      <c r="B97" s="1" t="s">
        <v>250</v>
      </c>
      <c r="C97" s="1" t="s">
        <v>109</v>
      </c>
      <c r="D97" s="1" t="s">
        <v>17</v>
      </c>
      <c r="E97" s="1" t="s">
        <v>23</v>
      </c>
      <c r="F97" s="1" t="s">
        <v>56</v>
      </c>
      <c r="G97" s="1" t="s">
        <v>25</v>
      </c>
    </row>
    <row r="98" spans="1:7" x14ac:dyDescent="0.25">
      <c r="A98" s="1" t="s">
        <v>256</v>
      </c>
      <c r="B98" s="1" t="s">
        <v>257</v>
      </c>
      <c r="C98" s="1" t="s">
        <v>91</v>
      </c>
      <c r="D98" s="1" t="s">
        <v>37</v>
      </c>
      <c r="E98" s="1" t="s">
        <v>42</v>
      </c>
      <c r="F98" s="1" t="s">
        <v>56</v>
      </c>
      <c r="G98" s="1" t="s">
        <v>43</v>
      </c>
    </row>
    <row r="99" spans="1:7" x14ac:dyDescent="0.25">
      <c r="A99" s="1" t="s">
        <v>258</v>
      </c>
      <c r="B99" s="1" t="s">
        <v>259</v>
      </c>
      <c r="C99" s="1" t="s">
        <v>134</v>
      </c>
      <c r="D99" s="1" t="s">
        <v>85</v>
      </c>
      <c r="E99" s="1" t="s">
        <v>42</v>
      </c>
      <c r="F99" s="1" t="s">
        <v>56</v>
      </c>
      <c r="G99" s="1" t="s">
        <v>43</v>
      </c>
    </row>
    <row r="100" spans="1:7" x14ac:dyDescent="0.25">
      <c r="A100" s="1" t="s">
        <v>260</v>
      </c>
      <c r="B100" s="1" t="s">
        <v>261</v>
      </c>
      <c r="C100" s="1" t="s">
        <v>151</v>
      </c>
      <c r="D100" s="1" t="s">
        <v>64</v>
      </c>
      <c r="E100" s="1" t="s">
        <v>18</v>
      </c>
      <c r="F100" s="1" t="s">
        <v>60</v>
      </c>
      <c r="G100" s="1" t="s">
        <v>19</v>
      </c>
    </row>
    <row r="101" spans="1:7" x14ac:dyDescent="0.25">
      <c r="A101" s="1" t="s">
        <v>262</v>
      </c>
      <c r="B101" s="1" t="s">
        <v>263</v>
      </c>
      <c r="C101" s="1" t="s">
        <v>156</v>
      </c>
      <c r="D101" s="1" t="s">
        <v>197</v>
      </c>
      <c r="E101" s="1" t="s">
        <v>42</v>
      </c>
      <c r="F101" s="1" t="s">
        <v>12</v>
      </c>
      <c r="G101" s="1" t="s">
        <v>43</v>
      </c>
    </row>
    <row r="102" spans="1:7" x14ac:dyDescent="0.25">
      <c r="A102" s="1" t="s">
        <v>264</v>
      </c>
      <c r="B102" s="1" t="s">
        <v>265</v>
      </c>
      <c r="C102" s="1" t="s">
        <v>141</v>
      </c>
      <c r="D102" s="1" t="s">
        <v>17</v>
      </c>
      <c r="E102" s="1" t="s">
        <v>18</v>
      </c>
      <c r="F102" s="1" t="s">
        <v>24</v>
      </c>
      <c r="G102" s="1" t="s">
        <v>19</v>
      </c>
    </row>
    <row r="103" spans="1:7" x14ac:dyDescent="0.25">
      <c r="A103" s="1" t="s">
        <v>266</v>
      </c>
      <c r="B103" s="1" t="s">
        <v>215</v>
      </c>
      <c r="C103" s="1" t="s">
        <v>71</v>
      </c>
      <c r="D103" s="1" t="s">
        <v>29</v>
      </c>
      <c r="E103" s="1" t="s">
        <v>11</v>
      </c>
      <c r="F103" s="1" t="s">
        <v>60</v>
      </c>
      <c r="G103" s="1" t="s">
        <v>13</v>
      </c>
    </row>
    <row r="104" spans="1:7" x14ac:dyDescent="0.25">
      <c r="A104" s="1" t="s">
        <v>267</v>
      </c>
      <c r="B104" s="1" t="s">
        <v>268</v>
      </c>
      <c r="C104" s="1" t="s">
        <v>141</v>
      </c>
      <c r="D104" s="1" t="s">
        <v>110</v>
      </c>
      <c r="E104" s="1" t="s">
        <v>23</v>
      </c>
      <c r="F104" s="1" t="s">
        <v>56</v>
      </c>
      <c r="G104" s="1" t="s">
        <v>25</v>
      </c>
    </row>
    <row r="105" spans="1:7" x14ac:dyDescent="0.25">
      <c r="A105" s="1" t="s">
        <v>269</v>
      </c>
      <c r="B105" s="1" t="s">
        <v>270</v>
      </c>
      <c r="C105" s="1" t="s">
        <v>161</v>
      </c>
      <c r="D105" s="1" t="s">
        <v>37</v>
      </c>
      <c r="E105" s="1" t="s">
        <v>42</v>
      </c>
      <c r="F105" s="1" t="s">
        <v>38</v>
      </c>
      <c r="G105" s="1" t="s">
        <v>43</v>
      </c>
    </row>
    <row r="106" spans="1:7" x14ac:dyDescent="0.25">
      <c r="A106" s="1" t="s">
        <v>271</v>
      </c>
      <c r="B106" s="1" t="s">
        <v>272</v>
      </c>
      <c r="C106" s="1" t="s">
        <v>121</v>
      </c>
      <c r="D106" s="1" t="s">
        <v>59</v>
      </c>
      <c r="E106" s="1" t="s">
        <v>42</v>
      </c>
      <c r="F106" s="1" t="s">
        <v>60</v>
      </c>
      <c r="G106" s="1" t="s">
        <v>43</v>
      </c>
    </row>
    <row r="107" spans="1:7" x14ac:dyDescent="0.25">
      <c r="A107" s="1" t="s">
        <v>225</v>
      </c>
      <c r="B107" s="1" t="s">
        <v>226</v>
      </c>
      <c r="C107" s="1" t="s">
        <v>106</v>
      </c>
      <c r="D107" s="1" t="s">
        <v>59</v>
      </c>
      <c r="E107" s="1" t="s">
        <v>23</v>
      </c>
      <c r="F107" s="1" t="s">
        <v>60</v>
      </c>
      <c r="G107" s="1" t="s">
        <v>25</v>
      </c>
    </row>
    <row r="108" spans="1:7" x14ac:dyDescent="0.25">
      <c r="A108" s="1" t="s">
        <v>273</v>
      </c>
      <c r="B108" s="1" t="s">
        <v>274</v>
      </c>
      <c r="C108" s="1" t="s">
        <v>9</v>
      </c>
      <c r="D108" s="1" t="s">
        <v>59</v>
      </c>
      <c r="E108" s="1" t="s">
        <v>11</v>
      </c>
      <c r="F108" s="1" t="s">
        <v>38</v>
      </c>
      <c r="G108" s="1" t="s">
        <v>13</v>
      </c>
    </row>
    <row r="109" spans="1:7" x14ac:dyDescent="0.25">
      <c r="A109" s="1" t="s">
        <v>275</v>
      </c>
      <c r="B109" s="1" t="s">
        <v>276</v>
      </c>
      <c r="C109" s="1" t="s">
        <v>151</v>
      </c>
      <c r="D109" s="1" t="s">
        <v>29</v>
      </c>
      <c r="E109" s="1" t="s">
        <v>42</v>
      </c>
      <c r="F109" s="1" t="s">
        <v>38</v>
      </c>
      <c r="G109" s="1" t="s">
        <v>43</v>
      </c>
    </row>
    <row r="110" spans="1:7" x14ac:dyDescent="0.25">
      <c r="A110" s="1" t="s">
        <v>277</v>
      </c>
      <c r="B110" s="1" t="s">
        <v>278</v>
      </c>
      <c r="C110" s="1" t="s">
        <v>134</v>
      </c>
      <c r="D110" s="1" t="s">
        <v>197</v>
      </c>
      <c r="E110" s="1" t="s">
        <v>18</v>
      </c>
      <c r="F110" s="1" t="s">
        <v>56</v>
      </c>
      <c r="G110" s="1" t="s">
        <v>19</v>
      </c>
    </row>
    <row r="111" spans="1:7" x14ac:dyDescent="0.25">
      <c r="A111" s="1" t="s">
        <v>279</v>
      </c>
      <c r="B111" s="1" t="s">
        <v>158</v>
      </c>
      <c r="C111" s="1" t="s">
        <v>113</v>
      </c>
      <c r="D111" s="1" t="s">
        <v>17</v>
      </c>
      <c r="E111" s="1" t="s">
        <v>23</v>
      </c>
      <c r="F111" s="1" t="s">
        <v>56</v>
      </c>
      <c r="G111" s="1" t="s">
        <v>25</v>
      </c>
    </row>
    <row r="112" spans="1:7" x14ac:dyDescent="0.25">
      <c r="A112" s="1" t="s">
        <v>280</v>
      </c>
      <c r="B112" s="1" t="s">
        <v>281</v>
      </c>
      <c r="C112" s="1" t="s">
        <v>172</v>
      </c>
      <c r="D112" s="1" t="s">
        <v>78</v>
      </c>
      <c r="E112" s="1" t="s">
        <v>11</v>
      </c>
      <c r="F112" s="1" t="s">
        <v>56</v>
      </c>
      <c r="G112" s="1" t="s">
        <v>13</v>
      </c>
    </row>
    <row r="113" spans="1:7" x14ac:dyDescent="0.25">
      <c r="A113" s="1" t="s">
        <v>282</v>
      </c>
      <c r="B113" s="1" t="s">
        <v>283</v>
      </c>
      <c r="C113" s="1" t="s">
        <v>203</v>
      </c>
      <c r="D113" s="1" t="s">
        <v>142</v>
      </c>
      <c r="E113" s="1" t="s">
        <v>11</v>
      </c>
      <c r="F113" s="1" t="s">
        <v>56</v>
      </c>
      <c r="G113" s="1" t="s">
        <v>13</v>
      </c>
    </row>
    <row r="114" spans="1:7" x14ac:dyDescent="0.25">
      <c r="A114" s="1" t="s">
        <v>284</v>
      </c>
      <c r="B114" s="1" t="s">
        <v>285</v>
      </c>
      <c r="C114" s="1" t="s">
        <v>179</v>
      </c>
      <c r="D114" s="1" t="s">
        <v>22</v>
      </c>
      <c r="E114" s="1" t="s">
        <v>23</v>
      </c>
      <c r="F114" s="1" t="s">
        <v>56</v>
      </c>
      <c r="G114" s="1" t="s">
        <v>25</v>
      </c>
    </row>
    <row r="115" spans="1:7" x14ac:dyDescent="0.25">
      <c r="A115" s="1" t="s">
        <v>286</v>
      </c>
      <c r="B115" s="1" t="s">
        <v>287</v>
      </c>
      <c r="C115" s="1" t="s">
        <v>141</v>
      </c>
      <c r="D115" s="1" t="s">
        <v>142</v>
      </c>
      <c r="E115" s="1" t="s">
        <v>18</v>
      </c>
      <c r="F115" s="1" t="s">
        <v>30</v>
      </c>
      <c r="G115" s="1" t="s">
        <v>19</v>
      </c>
    </row>
    <row r="116" spans="1:7" x14ac:dyDescent="0.25">
      <c r="A116" s="1" t="s">
        <v>288</v>
      </c>
      <c r="B116" s="1" t="s">
        <v>289</v>
      </c>
      <c r="C116" s="1" t="s">
        <v>33</v>
      </c>
      <c r="D116" s="1" t="s">
        <v>72</v>
      </c>
      <c r="E116" s="1" t="s">
        <v>23</v>
      </c>
      <c r="F116" s="1" t="s">
        <v>60</v>
      </c>
      <c r="G116" s="1" t="s">
        <v>25</v>
      </c>
    </row>
    <row r="117" spans="1:7" x14ac:dyDescent="0.25">
      <c r="A117" s="1" t="s">
        <v>290</v>
      </c>
      <c r="B117" s="1" t="s">
        <v>291</v>
      </c>
      <c r="C117" s="1" t="s">
        <v>113</v>
      </c>
      <c r="D117" s="1" t="s">
        <v>22</v>
      </c>
      <c r="E117" s="1" t="s">
        <v>18</v>
      </c>
      <c r="F117" s="1" t="s">
        <v>24</v>
      </c>
      <c r="G117" s="1" t="s">
        <v>19</v>
      </c>
    </row>
    <row r="118" spans="1:7" x14ac:dyDescent="0.25">
      <c r="A118" s="1" t="s">
        <v>292</v>
      </c>
      <c r="B118" s="1" t="s">
        <v>293</v>
      </c>
      <c r="C118" s="1" t="s">
        <v>63</v>
      </c>
      <c r="D118" s="1" t="s">
        <v>49</v>
      </c>
      <c r="E118" s="1" t="s">
        <v>23</v>
      </c>
      <c r="F118" s="1" t="s">
        <v>56</v>
      </c>
      <c r="G118" s="1" t="s">
        <v>25</v>
      </c>
    </row>
    <row r="119" spans="1:7" x14ac:dyDescent="0.25">
      <c r="A119" s="1" t="s">
        <v>294</v>
      </c>
      <c r="B119" s="1" t="s">
        <v>295</v>
      </c>
      <c r="C119" s="1" t="s">
        <v>151</v>
      </c>
      <c r="D119" s="1" t="s">
        <v>49</v>
      </c>
      <c r="E119" s="1" t="s">
        <v>23</v>
      </c>
      <c r="F119" s="1" t="s">
        <v>12</v>
      </c>
      <c r="G119" s="1" t="s">
        <v>25</v>
      </c>
    </row>
    <row r="120" spans="1:7" x14ac:dyDescent="0.25">
      <c r="A120" s="1" t="s">
        <v>143</v>
      </c>
      <c r="B120" s="1" t="s">
        <v>296</v>
      </c>
      <c r="C120" s="1" t="s">
        <v>109</v>
      </c>
      <c r="D120" s="1" t="s">
        <v>17</v>
      </c>
      <c r="E120" s="1" t="s">
        <v>23</v>
      </c>
      <c r="F120" s="1" t="s">
        <v>38</v>
      </c>
      <c r="G120" s="1" t="s">
        <v>25</v>
      </c>
    </row>
    <row r="121" spans="1:7" x14ac:dyDescent="0.25">
      <c r="A121" s="1" t="s">
        <v>297</v>
      </c>
      <c r="B121" s="1" t="s">
        <v>74</v>
      </c>
      <c r="C121" s="1" t="s">
        <v>141</v>
      </c>
      <c r="D121" s="1" t="s">
        <v>22</v>
      </c>
      <c r="E121" s="1" t="s">
        <v>42</v>
      </c>
      <c r="F121" s="1" t="s">
        <v>56</v>
      </c>
      <c r="G121" s="1" t="s">
        <v>43</v>
      </c>
    </row>
    <row r="122" spans="1:7" x14ac:dyDescent="0.25">
      <c r="A122" s="1" t="s">
        <v>298</v>
      </c>
      <c r="B122" s="1" t="s">
        <v>293</v>
      </c>
      <c r="C122" s="1" t="s">
        <v>172</v>
      </c>
      <c r="D122" s="1" t="s">
        <v>78</v>
      </c>
      <c r="E122" s="1" t="s">
        <v>18</v>
      </c>
      <c r="F122" s="1" t="s">
        <v>60</v>
      </c>
      <c r="G122" s="1" t="s">
        <v>19</v>
      </c>
    </row>
    <row r="123" spans="1:7" x14ac:dyDescent="0.25">
      <c r="A123" s="1" t="s">
        <v>69</v>
      </c>
      <c r="B123" s="1" t="s">
        <v>299</v>
      </c>
      <c r="C123" s="1" t="s">
        <v>63</v>
      </c>
      <c r="D123" s="1" t="s">
        <v>49</v>
      </c>
      <c r="E123" s="1" t="s">
        <v>18</v>
      </c>
      <c r="F123" s="1" t="s">
        <v>38</v>
      </c>
      <c r="G123" s="1" t="s">
        <v>19</v>
      </c>
    </row>
    <row r="124" spans="1:7" x14ac:dyDescent="0.25">
      <c r="A124" s="1" t="s">
        <v>300</v>
      </c>
      <c r="B124" s="1" t="s">
        <v>301</v>
      </c>
      <c r="C124" s="1" t="s">
        <v>174</v>
      </c>
      <c r="D124" s="1" t="s">
        <v>78</v>
      </c>
      <c r="E124" s="1" t="s">
        <v>11</v>
      </c>
      <c r="F124" s="1" t="s">
        <v>50</v>
      </c>
      <c r="G124" s="1" t="s">
        <v>13</v>
      </c>
    </row>
    <row r="125" spans="1:7" x14ac:dyDescent="0.25">
      <c r="A125" s="1" t="s">
        <v>302</v>
      </c>
      <c r="B125" s="1" t="s">
        <v>303</v>
      </c>
      <c r="C125" s="1" t="s">
        <v>161</v>
      </c>
      <c r="D125" s="1" t="s">
        <v>97</v>
      </c>
      <c r="E125" s="1" t="s">
        <v>42</v>
      </c>
      <c r="F125" s="1" t="s">
        <v>38</v>
      </c>
      <c r="G125" s="1" t="s">
        <v>43</v>
      </c>
    </row>
    <row r="126" spans="1:7" x14ac:dyDescent="0.25">
      <c r="A126" s="1" t="s">
        <v>304</v>
      </c>
      <c r="B126" s="1" t="s">
        <v>305</v>
      </c>
      <c r="C126" s="1" t="s">
        <v>118</v>
      </c>
      <c r="D126" s="1" t="s">
        <v>122</v>
      </c>
      <c r="E126" s="1" t="s">
        <v>23</v>
      </c>
      <c r="F126" s="1" t="s">
        <v>38</v>
      </c>
      <c r="G126" s="1" t="s">
        <v>25</v>
      </c>
    </row>
    <row r="127" spans="1:7" x14ac:dyDescent="0.25">
      <c r="A127" s="1" t="s">
        <v>306</v>
      </c>
      <c r="B127" s="1" t="s">
        <v>307</v>
      </c>
      <c r="C127" s="1" t="s">
        <v>187</v>
      </c>
      <c r="D127" s="1" t="s">
        <v>72</v>
      </c>
      <c r="E127" s="1" t="s">
        <v>11</v>
      </c>
      <c r="F127" s="1" t="s">
        <v>56</v>
      </c>
      <c r="G127" s="1" t="s">
        <v>13</v>
      </c>
    </row>
    <row r="128" spans="1:7" x14ac:dyDescent="0.25">
      <c r="A128" s="1" t="s">
        <v>198</v>
      </c>
      <c r="B128" s="1" t="s">
        <v>308</v>
      </c>
      <c r="C128" s="1" t="s">
        <v>91</v>
      </c>
      <c r="D128" s="1" t="s">
        <v>37</v>
      </c>
      <c r="E128" s="1" t="s">
        <v>23</v>
      </c>
      <c r="F128" s="1" t="s">
        <v>30</v>
      </c>
      <c r="G128" s="1" t="s">
        <v>25</v>
      </c>
    </row>
    <row r="129" spans="1:7" x14ac:dyDescent="0.25">
      <c r="A129" s="1" t="s">
        <v>309</v>
      </c>
      <c r="B129" s="1" t="s">
        <v>84</v>
      </c>
      <c r="C129" s="1" t="s">
        <v>53</v>
      </c>
      <c r="D129" s="1" t="s">
        <v>22</v>
      </c>
      <c r="E129" s="1" t="s">
        <v>18</v>
      </c>
      <c r="F129" s="1" t="s">
        <v>56</v>
      </c>
      <c r="G129" s="1" t="s">
        <v>19</v>
      </c>
    </row>
    <row r="130" spans="1:7" x14ac:dyDescent="0.25">
      <c r="A130" s="1" t="s">
        <v>310</v>
      </c>
      <c r="B130" s="1" t="s">
        <v>311</v>
      </c>
      <c r="C130" s="1" t="s">
        <v>63</v>
      </c>
      <c r="D130" s="1" t="s">
        <v>29</v>
      </c>
      <c r="E130" s="1" t="s">
        <v>23</v>
      </c>
      <c r="F130" s="1" t="s">
        <v>56</v>
      </c>
      <c r="G130" s="1" t="s">
        <v>25</v>
      </c>
    </row>
    <row r="131" spans="1:7" x14ac:dyDescent="0.25">
      <c r="A131" s="1" t="s">
        <v>312</v>
      </c>
      <c r="B131" s="1" t="s">
        <v>313</v>
      </c>
      <c r="C131" s="1" t="s">
        <v>41</v>
      </c>
      <c r="D131" s="1" t="s">
        <v>17</v>
      </c>
      <c r="E131" s="1" t="s">
        <v>23</v>
      </c>
      <c r="F131" s="1" t="s">
        <v>56</v>
      </c>
      <c r="G131" s="1" t="s">
        <v>25</v>
      </c>
    </row>
    <row r="132" spans="1:7" x14ac:dyDescent="0.25">
      <c r="A132" s="1" t="s">
        <v>251</v>
      </c>
      <c r="B132" s="1" t="s">
        <v>234</v>
      </c>
      <c r="C132" s="1" t="s">
        <v>141</v>
      </c>
      <c r="D132" s="1" t="s">
        <v>17</v>
      </c>
      <c r="E132" s="1" t="s">
        <v>42</v>
      </c>
      <c r="F132" s="1" t="s">
        <v>12</v>
      </c>
      <c r="G132" s="1" t="s">
        <v>43</v>
      </c>
    </row>
    <row r="133" spans="1:7" x14ac:dyDescent="0.25">
      <c r="A133" s="1" t="s">
        <v>314</v>
      </c>
      <c r="B133" s="1" t="s">
        <v>315</v>
      </c>
      <c r="C133" s="1" t="s">
        <v>113</v>
      </c>
      <c r="D133" s="1" t="s">
        <v>22</v>
      </c>
      <c r="E133" s="1" t="s">
        <v>18</v>
      </c>
      <c r="F133" s="1" t="s">
        <v>24</v>
      </c>
      <c r="G133" s="1" t="s">
        <v>19</v>
      </c>
    </row>
    <row r="134" spans="1:7" x14ac:dyDescent="0.25">
      <c r="A134" s="1" t="s">
        <v>316</v>
      </c>
      <c r="B134" s="1" t="s">
        <v>317</v>
      </c>
      <c r="C134" s="1" t="s">
        <v>121</v>
      </c>
      <c r="D134" s="1" t="s">
        <v>59</v>
      </c>
      <c r="E134" s="1" t="s">
        <v>11</v>
      </c>
      <c r="F134" s="1" t="s">
        <v>60</v>
      </c>
      <c r="G134" s="1" t="s">
        <v>13</v>
      </c>
    </row>
    <row r="135" spans="1:7" x14ac:dyDescent="0.25">
      <c r="A135" s="1" t="s">
        <v>318</v>
      </c>
      <c r="B135" s="1" t="s">
        <v>319</v>
      </c>
      <c r="C135" s="1" t="s">
        <v>125</v>
      </c>
      <c r="D135" s="1" t="s">
        <v>97</v>
      </c>
      <c r="E135" s="1" t="s">
        <v>42</v>
      </c>
      <c r="F135" s="1" t="s">
        <v>12</v>
      </c>
      <c r="G135" s="1" t="s">
        <v>43</v>
      </c>
    </row>
    <row r="136" spans="1:7" x14ac:dyDescent="0.25">
      <c r="A136" s="1" t="s">
        <v>320</v>
      </c>
      <c r="B136" s="1" t="s">
        <v>321</v>
      </c>
      <c r="C136" s="1" t="s">
        <v>174</v>
      </c>
      <c r="D136" s="1" t="s">
        <v>10</v>
      </c>
      <c r="E136" s="1" t="s">
        <v>11</v>
      </c>
      <c r="F136" s="1" t="s">
        <v>38</v>
      </c>
      <c r="G136" s="1" t="s">
        <v>13</v>
      </c>
    </row>
    <row r="137" spans="1:7" x14ac:dyDescent="0.25">
      <c r="A137" s="1" t="s">
        <v>322</v>
      </c>
      <c r="B137" s="1" t="s">
        <v>323</v>
      </c>
      <c r="C137" s="1" t="s">
        <v>100</v>
      </c>
      <c r="D137" s="1" t="s">
        <v>10</v>
      </c>
      <c r="E137" s="1" t="s">
        <v>23</v>
      </c>
      <c r="F137" s="1" t="s">
        <v>24</v>
      </c>
      <c r="G137" s="1" t="s">
        <v>25</v>
      </c>
    </row>
    <row r="138" spans="1:7" x14ac:dyDescent="0.25">
      <c r="A138" s="1" t="s">
        <v>324</v>
      </c>
      <c r="B138" s="1" t="s">
        <v>325</v>
      </c>
      <c r="C138" s="1" t="s">
        <v>118</v>
      </c>
      <c r="D138" s="1" t="s">
        <v>78</v>
      </c>
      <c r="E138" s="1" t="s">
        <v>18</v>
      </c>
      <c r="F138" s="1" t="s">
        <v>12</v>
      </c>
      <c r="G138" s="1" t="s">
        <v>19</v>
      </c>
    </row>
    <row r="139" spans="1:7" x14ac:dyDescent="0.25">
      <c r="A139" s="1" t="s">
        <v>326</v>
      </c>
      <c r="B139" s="1" t="s">
        <v>133</v>
      </c>
      <c r="C139" s="1" t="s">
        <v>327</v>
      </c>
      <c r="D139" s="1" t="s">
        <v>29</v>
      </c>
      <c r="E139" s="1" t="s">
        <v>11</v>
      </c>
      <c r="F139" s="1" t="s">
        <v>24</v>
      </c>
      <c r="G139" s="1" t="s">
        <v>13</v>
      </c>
    </row>
    <row r="140" spans="1:7" x14ac:dyDescent="0.25">
      <c r="A140" s="1" t="s">
        <v>328</v>
      </c>
      <c r="B140" s="1" t="s">
        <v>329</v>
      </c>
      <c r="C140" s="1" t="s">
        <v>232</v>
      </c>
      <c r="D140" s="1" t="s">
        <v>122</v>
      </c>
      <c r="E140" s="1" t="s">
        <v>42</v>
      </c>
      <c r="F140" s="1" t="s">
        <v>56</v>
      </c>
      <c r="G140" s="1" t="s">
        <v>43</v>
      </c>
    </row>
    <row r="141" spans="1:7" x14ac:dyDescent="0.25">
      <c r="A141" s="1" t="s">
        <v>330</v>
      </c>
      <c r="B141" s="1" t="s">
        <v>331</v>
      </c>
      <c r="C141" s="1" t="s">
        <v>332</v>
      </c>
      <c r="D141" s="1" t="s">
        <v>85</v>
      </c>
      <c r="E141" s="1" t="s">
        <v>23</v>
      </c>
      <c r="F141" s="1" t="s">
        <v>12</v>
      </c>
      <c r="G141" s="1" t="s">
        <v>25</v>
      </c>
    </row>
    <row r="142" spans="1:7" x14ac:dyDescent="0.25">
      <c r="A142" s="1" t="s">
        <v>333</v>
      </c>
      <c r="B142" s="1" t="s">
        <v>334</v>
      </c>
      <c r="C142" s="1" t="s">
        <v>16</v>
      </c>
      <c r="D142" s="1" t="s">
        <v>142</v>
      </c>
      <c r="E142" s="1" t="s">
        <v>42</v>
      </c>
      <c r="F142" s="1" t="s">
        <v>60</v>
      </c>
      <c r="G142" s="1" t="s">
        <v>43</v>
      </c>
    </row>
    <row r="143" spans="1:7" x14ac:dyDescent="0.25">
      <c r="A143" s="1" t="s">
        <v>335</v>
      </c>
      <c r="B143" s="1" t="s">
        <v>336</v>
      </c>
      <c r="C143" s="1" t="s">
        <v>121</v>
      </c>
      <c r="D143" s="1" t="s">
        <v>59</v>
      </c>
      <c r="E143" s="1" t="s">
        <v>42</v>
      </c>
      <c r="F143" s="1" t="s">
        <v>12</v>
      </c>
      <c r="G143" s="1" t="s">
        <v>43</v>
      </c>
    </row>
    <row r="144" spans="1:7" x14ac:dyDescent="0.25">
      <c r="A144" s="1" t="s">
        <v>337</v>
      </c>
      <c r="B144" s="1" t="s">
        <v>338</v>
      </c>
      <c r="C144" s="1" t="s">
        <v>125</v>
      </c>
      <c r="D144" s="1" t="s">
        <v>85</v>
      </c>
      <c r="E144" s="1" t="s">
        <v>23</v>
      </c>
      <c r="F144" s="1" t="s">
        <v>38</v>
      </c>
      <c r="G144" s="1" t="s">
        <v>25</v>
      </c>
    </row>
    <row r="145" spans="1:7" x14ac:dyDescent="0.25">
      <c r="A145" s="1" t="s">
        <v>339</v>
      </c>
      <c r="B145" s="1" t="s">
        <v>340</v>
      </c>
      <c r="C145" s="1" t="s">
        <v>121</v>
      </c>
      <c r="D145" s="1" t="s">
        <v>10</v>
      </c>
      <c r="E145" s="1" t="s">
        <v>18</v>
      </c>
      <c r="F145" s="1" t="s">
        <v>24</v>
      </c>
      <c r="G145" s="1" t="s">
        <v>19</v>
      </c>
    </row>
    <row r="146" spans="1:7" x14ac:dyDescent="0.25">
      <c r="A146" s="1" t="s">
        <v>341</v>
      </c>
      <c r="B146" s="1" t="s">
        <v>342</v>
      </c>
      <c r="C146" s="1" t="s">
        <v>172</v>
      </c>
      <c r="D146" s="1" t="s">
        <v>122</v>
      </c>
      <c r="E146" s="1" t="s">
        <v>18</v>
      </c>
      <c r="F146" s="1" t="s">
        <v>12</v>
      </c>
      <c r="G146" s="1" t="s">
        <v>19</v>
      </c>
    </row>
    <row r="147" spans="1:7" x14ac:dyDescent="0.25">
      <c r="A147" s="1" t="s">
        <v>343</v>
      </c>
      <c r="B147" s="1" t="s">
        <v>344</v>
      </c>
      <c r="C147" s="1" t="s">
        <v>63</v>
      </c>
      <c r="D147" s="1" t="s">
        <v>49</v>
      </c>
      <c r="E147" s="1" t="s">
        <v>11</v>
      </c>
      <c r="F147" s="1" t="s">
        <v>24</v>
      </c>
      <c r="G147" s="1" t="s">
        <v>13</v>
      </c>
    </row>
    <row r="148" spans="1:7" x14ac:dyDescent="0.25">
      <c r="A148" s="1" t="s">
        <v>297</v>
      </c>
      <c r="B148" s="1" t="s">
        <v>74</v>
      </c>
      <c r="C148" s="1" t="s">
        <v>53</v>
      </c>
      <c r="D148" s="1" t="s">
        <v>142</v>
      </c>
      <c r="E148" s="1" t="s">
        <v>42</v>
      </c>
      <c r="F148" s="1" t="s">
        <v>56</v>
      </c>
      <c r="G148" s="1" t="s">
        <v>43</v>
      </c>
    </row>
    <row r="149" spans="1:7" x14ac:dyDescent="0.25">
      <c r="A149" s="1" t="s">
        <v>345</v>
      </c>
      <c r="B149" s="1" t="s">
        <v>346</v>
      </c>
      <c r="C149" s="1" t="s">
        <v>88</v>
      </c>
      <c r="D149" s="1" t="s">
        <v>29</v>
      </c>
      <c r="E149" s="1" t="s">
        <v>18</v>
      </c>
      <c r="F149" s="1" t="s">
        <v>56</v>
      </c>
      <c r="G149" s="1" t="s">
        <v>19</v>
      </c>
    </row>
    <row r="150" spans="1:7" x14ac:dyDescent="0.25">
      <c r="A150" s="1" t="s">
        <v>347</v>
      </c>
      <c r="B150" s="1" t="s">
        <v>348</v>
      </c>
      <c r="C150" s="1" t="s">
        <v>63</v>
      </c>
      <c r="D150" s="1" t="s">
        <v>49</v>
      </c>
      <c r="E150" s="1" t="s">
        <v>11</v>
      </c>
      <c r="F150" s="1" t="s">
        <v>38</v>
      </c>
      <c r="G150" s="1" t="s">
        <v>13</v>
      </c>
    </row>
    <row r="151" spans="1:7" x14ac:dyDescent="0.25">
      <c r="A151" s="1" t="s">
        <v>349</v>
      </c>
      <c r="B151" s="1" t="s">
        <v>40</v>
      </c>
      <c r="C151" s="1" t="s">
        <v>203</v>
      </c>
      <c r="D151" s="1" t="s">
        <v>22</v>
      </c>
      <c r="E151" s="1" t="s">
        <v>23</v>
      </c>
      <c r="F151" s="1" t="s">
        <v>12</v>
      </c>
      <c r="G151" s="1" t="s">
        <v>25</v>
      </c>
    </row>
    <row r="152" spans="1:7" x14ac:dyDescent="0.25">
      <c r="A152" s="1" t="s">
        <v>350</v>
      </c>
      <c r="B152" s="1" t="s">
        <v>351</v>
      </c>
      <c r="C152" s="1" t="s">
        <v>200</v>
      </c>
      <c r="D152" s="1" t="s">
        <v>37</v>
      </c>
      <c r="E152" s="1" t="s">
        <v>23</v>
      </c>
      <c r="F152" s="1" t="s">
        <v>60</v>
      </c>
      <c r="G152" s="1" t="s">
        <v>25</v>
      </c>
    </row>
    <row r="153" spans="1:7" x14ac:dyDescent="0.25">
      <c r="A153" s="1" t="s">
        <v>352</v>
      </c>
      <c r="B153" s="1" t="s">
        <v>8</v>
      </c>
      <c r="C153" s="1" t="s">
        <v>91</v>
      </c>
      <c r="D153" s="1" t="s">
        <v>37</v>
      </c>
      <c r="E153" s="1" t="s">
        <v>18</v>
      </c>
      <c r="F153" s="1" t="s">
        <v>30</v>
      </c>
      <c r="G153" s="1" t="s">
        <v>19</v>
      </c>
    </row>
    <row r="154" spans="1:7" x14ac:dyDescent="0.25">
      <c r="A154" s="1" t="s">
        <v>353</v>
      </c>
      <c r="B154" s="1" t="s">
        <v>354</v>
      </c>
      <c r="C154" s="1" t="s">
        <v>63</v>
      </c>
      <c r="D154" s="1" t="s">
        <v>72</v>
      </c>
      <c r="E154" s="1" t="s">
        <v>11</v>
      </c>
      <c r="F154" s="1" t="s">
        <v>60</v>
      </c>
      <c r="G154" s="1" t="s">
        <v>13</v>
      </c>
    </row>
    <row r="155" spans="1:7" x14ac:dyDescent="0.25">
      <c r="A155" s="1" t="s">
        <v>355</v>
      </c>
      <c r="B155" s="1" t="s">
        <v>356</v>
      </c>
      <c r="C155" s="1" t="s">
        <v>9</v>
      </c>
      <c r="D155" s="1" t="s">
        <v>122</v>
      </c>
      <c r="E155" s="1" t="s">
        <v>42</v>
      </c>
      <c r="F155" s="1" t="s">
        <v>60</v>
      </c>
      <c r="G155" s="1" t="s">
        <v>43</v>
      </c>
    </row>
    <row r="156" spans="1:7" x14ac:dyDescent="0.25">
      <c r="A156" s="1" t="s">
        <v>47</v>
      </c>
      <c r="B156" s="1" t="s">
        <v>357</v>
      </c>
      <c r="C156" s="1" t="s">
        <v>148</v>
      </c>
      <c r="D156" s="1" t="s">
        <v>64</v>
      </c>
      <c r="E156" s="1" t="s">
        <v>42</v>
      </c>
      <c r="F156" s="1" t="s">
        <v>50</v>
      </c>
      <c r="G156" s="1" t="s">
        <v>43</v>
      </c>
    </row>
    <row r="157" spans="1:7" x14ac:dyDescent="0.25">
      <c r="A157" s="1" t="s">
        <v>358</v>
      </c>
      <c r="B157" s="1" t="s">
        <v>359</v>
      </c>
      <c r="C157" s="1" t="s">
        <v>100</v>
      </c>
      <c r="D157" s="1" t="s">
        <v>122</v>
      </c>
      <c r="E157" s="1" t="s">
        <v>18</v>
      </c>
      <c r="F157" s="1" t="s">
        <v>60</v>
      </c>
      <c r="G157" s="1" t="s">
        <v>19</v>
      </c>
    </row>
    <row r="158" spans="1:7" x14ac:dyDescent="0.25">
      <c r="A158" s="1" t="s">
        <v>360</v>
      </c>
      <c r="B158" s="1" t="s">
        <v>361</v>
      </c>
      <c r="C158" s="1" t="s">
        <v>200</v>
      </c>
      <c r="D158" s="1" t="s">
        <v>97</v>
      </c>
      <c r="E158" s="1" t="s">
        <v>18</v>
      </c>
      <c r="F158" s="1" t="s">
        <v>60</v>
      </c>
      <c r="G158" s="1" t="s">
        <v>19</v>
      </c>
    </row>
    <row r="159" spans="1:7" x14ac:dyDescent="0.25">
      <c r="A159" s="1" t="s">
        <v>362</v>
      </c>
      <c r="B159" s="1" t="s">
        <v>153</v>
      </c>
      <c r="C159" s="1" t="s">
        <v>134</v>
      </c>
      <c r="D159" s="1" t="s">
        <v>37</v>
      </c>
      <c r="E159" s="1" t="s">
        <v>23</v>
      </c>
      <c r="F159" s="1" t="s">
        <v>135</v>
      </c>
      <c r="G159" s="1" t="s">
        <v>25</v>
      </c>
    </row>
    <row r="160" spans="1:7" x14ac:dyDescent="0.25">
      <c r="A160" s="1" t="s">
        <v>363</v>
      </c>
      <c r="B160" s="1" t="s">
        <v>364</v>
      </c>
      <c r="C160" s="1" t="s">
        <v>109</v>
      </c>
      <c r="D160" s="1" t="s">
        <v>110</v>
      </c>
      <c r="E160" s="1" t="s">
        <v>42</v>
      </c>
      <c r="F160" s="1" t="s">
        <v>60</v>
      </c>
      <c r="G160" s="1" t="s">
        <v>43</v>
      </c>
    </row>
    <row r="161" spans="1:7" x14ac:dyDescent="0.25">
      <c r="A161" s="1" t="s">
        <v>365</v>
      </c>
      <c r="B161" s="1" t="s">
        <v>366</v>
      </c>
      <c r="C161" s="1" t="s">
        <v>128</v>
      </c>
      <c r="D161" s="1" t="s">
        <v>29</v>
      </c>
      <c r="E161" s="1" t="s">
        <v>11</v>
      </c>
      <c r="F161" s="1" t="s">
        <v>56</v>
      </c>
      <c r="G161" s="1" t="s">
        <v>13</v>
      </c>
    </row>
    <row r="162" spans="1:7" x14ac:dyDescent="0.25">
      <c r="A162" s="1" t="s">
        <v>367</v>
      </c>
      <c r="B162" s="1" t="s">
        <v>368</v>
      </c>
      <c r="C162" s="1" t="s">
        <v>187</v>
      </c>
      <c r="D162" s="1" t="s">
        <v>49</v>
      </c>
      <c r="E162" s="1" t="s">
        <v>11</v>
      </c>
      <c r="F162" s="1" t="s">
        <v>135</v>
      </c>
      <c r="G162" s="1" t="s">
        <v>13</v>
      </c>
    </row>
    <row r="163" spans="1:7" x14ac:dyDescent="0.25">
      <c r="A163" s="1" t="s">
        <v>369</v>
      </c>
      <c r="B163" s="1" t="s">
        <v>237</v>
      </c>
      <c r="C163" s="1" t="s">
        <v>16</v>
      </c>
      <c r="D163" s="1" t="s">
        <v>17</v>
      </c>
      <c r="E163" s="1" t="s">
        <v>23</v>
      </c>
      <c r="F163" s="1" t="s">
        <v>50</v>
      </c>
      <c r="G163" s="1" t="s">
        <v>25</v>
      </c>
    </row>
    <row r="164" spans="1:7" x14ac:dyDescent="0.25">
      <c r="A164" s="1" t="s">
        <v>370</v>
      </c>
      <c r="B164" s="1" t="s">
        <v>371</v>
      </c>
      <c r="C164" s="1" t="s">
        <v>9</v>
      </c>
      <c r="D164" s="1" t="s">
        <v>59</v>
      </c>
      <c r="E164" s="1" t="s">
        <v>18</v>
      </c>
      <c r="F164" s="1" t="s">
        <v>94</v>
      </c>
      <c r="G164" s="1" t="s">
        <v>19</v>
      </c>
    </row>
    <row r="165" spans="1:7" x14ac:dyDescent="0.25">
      <c r="A165" s="1" t="s">
        <v>372</v>
      </c>
      <c r="B165" s="1" t="s">
        <v>373</v>
      </c>
      <c r="C165" s="1" t="s">
        <v>156</v>
      </c>
      <c r="D165" s="1" t="s">
        <v>197</v>
      </c>
      <c r="E165" s="1" t="s">
        <v>18</v>
      </c>
      <c r="F165" s="1" t="s">
        <v>12</v>
      </c>
      <c r="G165" s="1" t="s">
        <v>19</v>
      </c>
    </row>
    <row r="166" spans="1:7" x14ac:dyDescent="0.25">
      <c r="A166" s="1" t="s">
        <v>374</v>
      </c>
      <c r="B166" s="1" t="s">
        <v>375</v>
      </c>
      <c r="C166" s="1" t="s">
        <v>106</v>
      </c>
      <c r="D166" s="1" t="s">
        <v>10</v>
      </c>
      <c r="E166" s="1" t="s">
        <v>11</v>
      </c>
      <c r="F166" s="1" t="s">
        <v>38</v>
      </c>
      <c r="G166" s="1" t="s">
        <v>13</v>
      </c>
    </row>
    <row r="167" spans="1:7" x14ac:dyDescent="0.25">
      <c r="A167" s="1" t="s">
        <v>376</v>
      </c>
      <c r="B167" s="1" t="s">
        <v>377</v>
      </c>
      <c r="C167" s="1" t="s">
        <v>174</v>
      </c>
      <c r="D167" s="1" t="s">
        <v>78</v>
      </c>
      <c r="E167" s="1" t="s">
        <v>11</v>
      </c>
      <c r="F167" s="1" t="s">
        <v>24</v>
      </c>
      <c r="G167" s="1" t="s">
        <v>13</v>
      </c>
    </row>
    <row r="168" spans="1:7" x14ac:dyDescent="0.25">
      <c r="A168" s="1" t="s">
        <v>171</v>
      </c>
      <c r="B168" s="1" t="s">
        <v>133</v>
      </c>
      <c r="C168" s="1" t="s">
        <v>232</v>
      </c>
      <c r="D168" s="1" t="s">
        <v>122</v>
      </c>
      <c r="E168" s="1" t="s">
        <v>18</v>
      </c>
      <c r="F168" s="1" t="s">
        <v>60</v>
      </c>
      <c r="G168" s="1" t="s">
        <v>19</v>
      </c>
    </row>
    <row r="169" spans="1:7" x14ac:dyDescent="0.25">
      <c r="A169" s="1" t="s">
        <v>378</v>
      </c>
      <c r="B169" s="1" t="s">
        <v>379</v>
      </c>
      <c r="C169" s="1" t="s">
        <v>327</v>
      </c>
      <c r="D169" s="1" t="s">
        <v>72</v>
      </c>
      <c r="E169" s="1" t="s">
        <v>18</v>
      </c>
      <c r="F169" s="1" t="s">
        <v>12</v>
      </c>
      <c r="G169" s="1" t="s">
        <v>19</v>
      </c>
    </row>
    <row r="170" spans="1:7" x14ac:dyDescent="0.25">
      <c r="A170" s="1" t="s">
        <v>380</v>
      </c>
      <c r="B170" s="1" t="s">
        <v>199</v>
      </c>
      <c r="C170" s="1" t="s">
        <v>96</v>
      </c>
      <c r="D170" s="1" t="s">
        <v>97</v>
      </c>
      <c r="E170" s="1" t="s">
        <v>23</v>
      </c>
      <c r="F170" s="1" t="s">
        <v>30</v>
      </c>
      <c r="G170" s="1" t="s">
        <v>25</v>
      </c>
    </row>
    <row r="171" spans="1:7" x14ac:dyDescent="0.25">
      <c r="A171" s="1" t="s">
        <v>381</v>
      </c>
      <c r="B171" s="1" t="s">
        <v>382</v>
      </c>
      <c r="C171" s="1" t="s">
        <v>77</v>
      </c>
      <c r="D171" s="1" t="s">
        <v>122</v>
      </c>
      <c r="E171" s="1" t="s">
        <v>42</v>
      </c>
      <c r="F171" s="1" t="s">
        <v>60</v>
      </c>
      <c r="G171" s="1" t="s">
        <v>43</v>
      </c>
    </row>
    <row r="172" spans="1:7" x14ac:dyDescent="0.25">
      <c r="A172" s="1" t="s">
        <v>383</v>
      </c>
      <c r="B172" s="1" t="s">
        <v>384</v>
      </c>
      <c r="C172" s="1" t="s">
        <v>63</v>
      </c>
      <c r="D172" s="1" t="s">
        <v>72</v>
      </c>
      <c r="E172" s="1" t="s">
        <v>11</v>
      </c>
      <c r="F172" s="1" t="s">
        <v>12</v>
      </c>
      <c r="G172" s="1" t="s">
        <v>13</v>
      </c>
    </row>
    <row r="173" spans="1:7" x14ac:dyDescent="0.25">
      <c r="A173" s="1" t="s">
        <v>385</v>
      </c>
      <c r="B173" s="1" t="s">
        <v>386</v>
      </c>
      <c r="C173" s="1" t="s">
        <v>232</v>
      </c>
      <c r="D173" s="1" t="s">
        <v>59</v>
      </c>
      <c r="E173" s="1" t="s">
        <v>18</v>
      </c>
      <c r="F173" s="1" t="s">
        <v>38</v>
      </c>
      <c r="G173" s="1" t="s">
        <v>19</v>
      </c>
    </row>
    <row r="174" spans="1:7" x14ac:dyDescent="0.25">
      <c r="A174" s="1" t="s">
        <v>387</v>
      </c>
      <c r="B174" s="1" t="s">
        <v>388</v>
      </c>
      <c r="C174" s="1" t="s">
        <v>125</v>
      </c>
      <c r="D174" s="1" t="s">
        <v>37</v>
      </c>
      <c r="E174" s="1" t="s">
        <v>11</v>
      </c>
      <c r="F174" s="1" t="s">
        <v>94</v>
      </c>
      <c r="G174" s="1" t="s">
        <v>13</v>
      </c>
    </row>
    <row r="175" spans="1:7" x14ac:dyDescent="0.25">
      <c r="A175" s="1" t="s">
        <v>389</v>
      </c>
      <c r="B175" s="1" t="s">
        <v>257</v>
      </c>
      <c r="C175" s="1" t="s">
        <v>203</v>
      </c>
      <c r="D175" s="1" t="s">
        <v>17</v>
      </c>
      <c r="E175" s="1" t="s">
        <v>42</v>
      </c>
      <c r="F175" s="1" t="s">
        <v>12</v>
      </c>
      <c r="G175" s="1" t="s">
        <v>43</v>
      </c>
    </row>
    <row r="176" spans="1:7" x14ac:dyDescent="0.25">
      <c r="A176" s="1" t="s">
        <v>390</v>
      </c>
      <c r="B176" s="1" t="s">
        <v>391</v>
      </c>
      <c r="C176" s="1" t="s">
        <v>77</v>
      </c>
      <c r="D176" s="1" t="s">
        <v>78</v>
      </c>
      <c r="E176" s="1" t="s">
        <v>42</v>
      </c>
      <c r="F176" s="1" t="s">
        <v>38</v>
      </c>
      <c r="G176" s="1" t="s">
        <v>43</v>
      </c>
    </row>
    <row r="177" spans="1:7" x14ac:dyDescent="0.25">
      <c r="A177" s="1" t="s">
        <v>392</v>
      </c>
      <c r="B177" s="1" t="s">
        <v>74</v>
      </c>
      <c r="C177" s="1" t="s">
        <v>182</v>
      </c>
      <c r="D177" s="1" t="s">
        <v>97</v>
      </c>
      <c r="E177" s="1" t="s">
        <v>11</v>
      </c>
      <c r="F177" s="1" t="s">
        <v>12</v>
      </c>
      <c r="G177" s="1" t="s">
        <v>13</v>
      </c>
    </row>
    <row r="178" spans="1:7" x14ac:dyDescent="0.25">
      <c r="A178" s="1" t="s">
        <v>393</v>
      </c>
      <c r="B178" s="1" t="s">
        <v>394</v>
      </c>
      <c r="C178" s="1" t="s">
        <v>161</v>
      </c>
      <c r="D178" s="1" t="s">
        <v>197</v>
      </c>
      <c r="E178" s="1" t="s">
        <v>42</v>
      </c>
      <c r="F178" s="1" t="s">
        <v>60</v>
      </c>
      <c r="G178" s="1" t="s">
        <v>43</v>
      </c>
    </row>
    <row r="179" spans="1:7" x14ac:dyDescent="0.25">
      <c r="A179" s="1" t="s">
        <v>395</v>
      </c>
      <c r="B179" s="1" t="s">
        <v>396</v>
      </c>
      <c r="C179" s="1" t="s">
        <v>151</v>
      </c>
      <c r="D179" s="1" t="s">
        <v>64</v>
      </c>
      <c r="E179" s="1" t="s">
        <v>23</v>
      </c>
      <c r="F179" s="1" t="s">
        <v>38</v>
      </c>
      <c r="G179" s="1" t="s">
        <v>25</v>
      </c>
    </row>
    <row r="180" spans="1:7" x14ac:dyDescent="0.25">
      <c r="A180" s="1" t="s">
        <v>397</v>
      </c>
      <c r="B180" s="1" t="s">
        <v>398</v>
      </c>
      <c r="C180" s="1" t="s">
        <v>53</v>
      </c>
      <c r="D180" s="1" t="s">
        <v>17</v>
      </c>
      <c r="E180" s="1" t="s">
        <v>11</v>
      </c>
      <c r="F180" s="1" t="s">
        <v>12</v>
      </c>
      <c r="G180" s="1" t="s">
        <v>13</v>
      </c>
    </row>
    <row r="181" spans="1:7" x14ac:dyDescent="0.25">
      <c r="A181" s="1" t="s">
        <v>146</v>
      </c>
      <c r="B181" s="1" t="s">
        <v>283</v>
      </c>
      <c r="C181" s="1" t="s">
        <v>187</v>
      </c>
      <c r="D181" s="1" t="s">
        <v>29</v>
      </c>
      <c r="E181" s="1" t="s">
        <v>42</v>
      </c>
      <c r="F181" s="1" t="s">
        <v>60</v>
      </c>
      <c r="G181" s="1" t="s">
        <v>43</v>
      </c>
    </row>
    <row r="182" spans="1:7" x14ac:dyDescent="0.25">
      <c r="A182" s="1" t="s">
        <v>399</v>
      </c>
      <c r="B182" s="1" t="s">
        <v>55</v>
      </c>
      <c r="C182" s="1" t="s">
        <v>174</v>
      </c>
      <c r="D182" s="1" t="s">
        <v>122</v>
      </c>
      <c r="E182" s="1" t="s">
        <v>23</v>
      </c>
      <c r="F182" s="1" t="s">
        <v>24</v>
      </c>
      <c r="G182" s="1" t="s">
        <v>25</v>
      </c>
    </row>
    <row r="183" spans="1:7" x14ac:dyDescent="0.25">
      <c r="A183" s="1" t="s">
        <v>400</v>
      </c>
      <c r="B183" s="1" t="s">
        <v>401</v>
      </c>
      <c r="C183" s="1" t="s">
        <v>33</v>
      </c>
      <c r="D183" s="1" t="s">
        <v>72</v>
      </c>
      <c r="E183" s="1" t="s">
        <v>11</v>
      </c>
      <c r="F183" s="1" t="s">
        <v>56</v>
      </c>
      <c r="G183" s="1" t="s">
        <v>13</v>
      </c>
    </row>
    <row r="184" spans="1:7" x14ac:dyDescent="0.25">
      <c r="A184" s="1" t="s">
        <v>402</v>
      </c>
      <c r="B184" s="1" t="s">
        <v>403</v>
      </c>
      <c r="C184" s="1" t="s">
        <v>96</v>
      </c>
      <c r="D184" s="1" t="s">
        <v>197</v>
      </c>
      <c r="E184" s="1" t="s">
        <v>11</v>
      </c>
      <c r="F184" s="1" t="s">
        <v>56</v>
      </c>
      <c r="G184" s="1" t="s">
        <v>13</v>
      </c>
    </row>
    <row r="185" spans="1:7" x14ac:dyDescent="0.25">
      <c r="A185" s="1" t="s">
        <v>404</v>
      </c>
      <c r="B185" s="1" t="s">
        <v>405</v>
      </c>
      <c r="C185" s="1" t="s">
        <v>131</v>
      </c>
      <c r="D185" s="1" t="s">
        <v>17</v>
      </c>
      <c r="E185" s="1" t="s">
        <v>18</v>
      </c>
      <c r="F185" s="1" t="s">
        <v>60</v>
      </c>
      <c r="G185" s="1" t="s">
        <v>19</v>
      </c>
    </row>
    <row r="186" spans="1:7" x14ac:dyDescent="0.25">
      <c r="A186" s="1" t="s">
        <v>406</v>
      </c>
      <c r="B186" s="1" t="s">
        <v>407</v>
      </c>
      <c r="C186" s="1" t="s">
        <v>125</v>
      </c>
      <c r="D186" s="1" t="s">
        <v>97</v>
      </c>
      <c r="E186" s="1" t="s">
        <v>11</v>
      </c>
      <c r="F186" s="1" t="s">
        <v>56</v>
      </c>
      <c r="G186" s="1" t="s">
        <v>13</v>
      </c>
    </row>
    <row r="187" spans="1:7" x14ac:dyDescent="0.25">
      <c r="A187" s="1" t="s">
        <v>408</v>
      </c>
      <c r="B187" s="1" t="s">
        <v>409</v>
      </c>
      <c r="C187" s="1" t="s">
        <v>113</v>
      </c>
      <c r="D187" s="1" t="s">
        <v>110</v>
      </c>
      <c r="E187" s="1" t="s">
        <v>23</v>
      </c>
      <c r="F187" s="1" t="s">
        <v>56</v>
      </c>
      <c r="G187" s="1" t="s">
        <v>25</v>
      </c>
    </row>
    <row r="188" spans="1:7" x14ac:dyDescent="0.25">
      <c r="A188" s="1" t="s">
        <v>410</v>
      </c>
      <c r="B188" s="1" t="s">
        <v>411</v>
      </c>
      <c r="C188" s="1" t="s">
        <v>174</v>
      </c>
      <c r="D188" s="1" t="s">
        <v>122</v>
      </c>
      <c r="E188" s="1" t="s">
        <v>23</v>
      </c>
      <c r="F188" s="1" t="s">
        <v>12</v>
      </c>
      <c r="G188" s="1" t="s">
        <v>25</v>
      </c>
    </row>
    <row r="189" spans="1:7" x14ac:dyDescent="0.25">
      <c r="A189" s="1" t="s">
        <v>183</v>
      </c>
      <c r="B189" s="1" t="s">
        <v>237</v>
      </c>
      <c r="C189" s="1" t="s">
        <v>109</v>
      </c>
      <c r="D189" s="1" t="s">
        <v>17</v>
      </c>
      <c r="E189" s="1" t="s">
        <v>42</v>
      </c>
      <c r="F189" s="1" t="s">
        <v>38</v>
      </c>
      <c r="G189" s="1" t="s">
        <v>43</v>
      </c>
    </row>
    <row r="190" spans="1:7" x14ac:dyDescent="0.25">
      <c r="A190" s="1" t="s">
        <v>412</v>
      </c>
      <c r="B190" s="1" t="s">
        <v>413</v>
      </c>
      <c r="C190" s="1" t="s">
        <v>36</v>
      </c>
      <c r="D190" s="1" t="s">
        <v>97</v>
      </c>
      <c r="E190" s="1" t="s">
        <v>11</v>
      </c>
      <c r="F190" s="1" t="s">
        <v>414</v>
      </c>
      <c r="G190" s="1" t="s">
        <v>13</v>
      </c>
    </row>
    <row r="191" spans="1:7" x14ac:dyDescent="0.25">
      <c r="A191" s="1" t="s">
        <v>415</v>
      </c>
      <c r="B191" s="1" t="s">
        <v>323</v>
      </c>
      <c r="C191" s="1" t="s">
        <v>156</v>
      </c>
      <c r="D191" s="1" t="s">
        <v>97</v>
      </c>
      <c r="E191" s="1" t="s">
        <v>42</v>
      </c>
      <c r="F191" s="1" t="s">
        <v>38</v>
      </c>
      <c r="G191" s="1" t="s">
        <v>43</v>
      </c>
    </row>
    <row r="192" spans="1:7" x14ac:dyDescent="0.25">
      <c r="A192" s="1" t="s">
        <v>416</v>
      </c>
      <c r="B192" s="1" t="s">
        <v>417</v>
      </c>
      <c r="C192" s="1" t="s">
        <v>63</v>
      </c>
      <c r="D192" s="1" t="s">
        <v>72</v>
      </c>
      <c r="E192" s="1" t="s">
        <v>23</v>
      </c>
      <c r="F192" s="1" t="s">
        <v>38</v>
      </c>
      <c r="G192" s="1" t="s">
        <v>25</v>
      </c>
    </row>
    <row r="193" spans="1:7" x14ac:dyDescent="0.25">
      <c r="A193" s="1" t="s">
        <v>418</v>
      </c>
      <c r="B193" s="1" t="s">
        <v>419</v>
      </c>
      <c r="C193" s="1" t="s">
        <v>187</v>
      </c>
      <c r="D193" s="1" t="s">
        <v>64</v>
      </c>
      <c r="E193" s="1" t="s">
        <v>18</v>
      </c>
      <c r="F193" s="1" t="s">
        <v>12</v>
      </c>
      <c r="G193" s="1" t="s">
        <v>19</v>
      </c>
    </row>
    <row r="194" spans="1:7" x14ac:dyDescent="0.25">
      <c r="A194" s="1" t="s">
        <v>420</v>
      </c>
      <c r="B194" s="1" t="s">
        <v>421</v>
      </c>
      <c r="C194" s="1" t="s">
        <v>88</v>
      </c>
      <c r="D194" s="1" t="s">
        <v>64</v>
      </c>
      <c r="E194" s="1" t="s">
        <v>42</v>
      </c>
      <c r="F194" s="1" t="s">
        <v>60</v>
      </c>
      <c r="G194" s="1" t="s">
        <v>43</v>
      </c>
    </row>
    <row r="195" spans="1:7" x14ac:dyDescent="0.25">
      <c r="A195" s="1" t="s">
        <v>422</v>
      </c>
      <c r="B195" s="1" t="s">
        <v>423</v>
      </c>
      <c r="C195" s="1" t="s">
        <v>332</v>
      </c>
      <c r="D195" s="1" t="s">
        <v>85</v>
      </c>
      <c r="E195" s="1" t="s">
        <v>42</v>
      </c>
      <c r="F195" s="1" t="s">
        <v>60</v>
      </c>
      <c r="G195" s="1" t="s">
        <v>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17BE9-FB1B-4A70-A96C-DC1DEE07E628}">
  <dimension ref="A1:B8"/>
  <sheetViews>
    <sheetView workbookViewId="0"/>
  </sheetViews>
  <sheetFormatPr defaultRowHeight="13.8" x14ac:dyDescent="0.25"/>
  <cols>
    <col min="1" max="1" width="45.3984375" bestFit="1" customWidth="1"/>
    <col min="2" max="2" width="13.5" bestFit="1" customWidth="1"/>
  </cols>
  <sheetData>
    <row r="1" spans="1:2" x14ac:dyDescent="0.25">
      <c r="A1" s="7" t="s">
        <v>433</v>
      </c>
      <c r="B1" s="7" t="s">
        <v>434</v>
      </c>
    </row>
    <row r="2" spans="1:2" x14ac:dyDescent="0.25">
      <c r="A2" t="s">
        <v>435</v>
      </c>
      <c r="B2">
        <v>194</v>
      </c>
    </row>
    <row r="3" spans="1:2" x14ac:dyDescent="0.25">
      <c r="A3" t="s">
        <v>436</v>
      </c>
      <c r="B3">
        <v>14</v>
      </c>
    </row>
    <row r="4" spans="1:2" x14ac:dyDescent="0.25">
      <c r="A4" t="s">
        <v>437</v>
      </c>
      <c r="B4">
        <v>141</v>
      </c>
    </row>
    <row r="5" spans="1:2" x14ac:dyDescent="0.25">
      <c r="A5" t="s">
        <v>438</v>
      </c>
      <c r="B5">
        <v>142</v>
      </c>
    </row>
    <row r="6" spans="1:2" x14ac:dyDescent="0.25">
      <c r="A6" t="s">
        <v>439</v>
      </c>
      <c r="B6">
        <v>194</v>
      </c>
    </row>
    <row r="7" spans="1:2" x14ac:dyDescent="0.25">
      <c r="A7" t="s">
        <v>440</v>
      </c>
      <c r="B7">
        <v>28</v>
      </c>
    </row>
    <row r="8" spans="1:2" x14ac:dyDescent="0.25">
      <c r="A8" t="s">
        <v>441</v>
      </c>
      <c r="B8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4</vt:i4>
      </vt:variant>
    </vt:vector>
  </HeadingPairs>
  <TitlesOfParts>
    <vt:vector size="4" baseType="lpstr">
      <vt:lpstr>Dashboard</vt:lpstr>
      <vt:lpstr>Clean Data</vt:lpstr>
      <vt:lpstr>Raw Export</vt:lpstr>
      <vt:lpstr>Cleaning 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maor Partush</dc:creator>
  <cp:lastModifiedBy>maor Partush</cp:lastModifiedBy>
  <dcterms:created xsi:type="dcterms:W3CDTF">2026-10-05T15:35:56Z</dcterms:created>
  <dcterms:modified xsi:type="dcterms:W3CDTF">2026-10-05T15:35:57Z</dcterms:modified>
</cp:coreProperties>
</file>